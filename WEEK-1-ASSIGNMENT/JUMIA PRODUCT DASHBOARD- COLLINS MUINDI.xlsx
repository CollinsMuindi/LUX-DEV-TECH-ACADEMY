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C0EDA6A6-34F1-40EB-B4C9-25B8D6198D9A}" xr6:coauthVersionLast="47" xr6:coauthVersionMax="47" xr10:uidLastSave="{00000000-0000-0000-0000-000000000000}"/>
  <bookViews>
    <workbookView xWindow="-110" yWindow="-110" windowWidth="19420" windowHeight="10300" tabRatio="846" xr2:uid="{00000000-000D-0000-FFFF-FFFF00000000}"/>
  </bookViews>
  <sheets>
    <sheet name="Excel_jumia" sheetId="1" r:id="rId1"/>
    <sheet name="PIVOT TABLES" sheetId="2" r:id="rId2"/>
    <sheet name="DASHBOARD" sheetId="5" r:id="rId3"/>
  </sheets>
  <definedNames>
    <definedName name="Slicer_Current_price">#N/A</definedName>
    <definedName name="Slicer_Discount_Category">#N/A</definedName>
    <definedName name="Slicer_Discount1">#N/A</definedName>
    <definedName name="Slicer_Rating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0" i="1" l="1"/>
  <c r="I111" i="1"/>
  <c r="H110" i="1"/>
  <c r="I110" i="1"/>
  <c r="A110" i="1"/>
  <c r="E110" i="1"/>
  <c r="C110" i="1"/>
  <c r="B110" i="1"/>
  <c r="F2" i="1"/>
  <c r="F110" i="1" s="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2"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l="1"/>
</calcChain>
</file>

<file path=xl/sharedStrings.xml><?xml version="1.0" encoding="utf-8"?>
<sst xmlns="http://schemas.openxmlformats.org/spreadsheetml/2006/main" count="334" uniqueCount="169">
  <si>
    <t>Product</t>
  </si>
  <si>
    <t>Current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</si>
  <si>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</si>
  <si>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</si>
  <si>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</si>
  <si>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</si>
  <si>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</si>
  <si>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</si>
  <si>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</si>
  <si>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</si>
  <si>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</si>
  <si>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</si>
  <si>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</si>
  <si>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</si>
  <si>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</si>
  <si>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</si>
  <si>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</si>
  <si>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</si>
  <si>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</si>
  <si>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</si>
  <si>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</si>
  <si>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</si>
  <si>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</si>
  <si>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</si>
  <si>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</si>
  <si>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</si>
  <si>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</si>
  <si>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</si>
  <si>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</si>
  <si>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</si>
  <si>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</si>
  <si>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</si>
  <si>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</si>
  <si>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</si>
  <si>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</si>
  <si>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</si>
  <si>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</si>
  <si>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</si>
  <si>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</si>
  <si>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</si>
  <si>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</si>
  <si>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</si>
  <si>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</si>
  <si>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</si>
  <si>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</si>
  <si>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</si>
  <si>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</si>
  <si>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</si>
  <si>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</si>
  <si>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</si>
  <si>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</si>
  <si>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</si>
  <si>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</si>
  <si>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</si>
  <si>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</si>
  <si>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</si>
  <si>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</si>
  <si>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</si>
  <si>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</si>
  <si>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</si>
  <si>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</si>
  <si>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</si>
  <si>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</si>
  <si>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</si>
  <si>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</si>
  <si>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</si>
  <si>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</si>
  <si>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</si>
  <si>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</si>
  <si>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</si>
  <si>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</si>
  <si>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</si>
  <si>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</si>
  <si>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</si>
  <si>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</si>
  <si>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</si>
  <si>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</si>
  <si>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</si>
  <si>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</si>
  <si>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</si>
  <si>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</si>
  <si>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</si>
  <si>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</si>
  <si>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</si>
  <si>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</si>
  <si>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</si>
  <si>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</si>
  <si>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</si>
  <si>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</si>
  <si>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</si>
  <si>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</si>
  <si>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</si>
  <si>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</si>
  <si>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</si>
  <si>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</si>
  <si>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</si>
  <si>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</si>
  <si>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</si>
  <si>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</si>
  <si>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</si>
  <si>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</si>
  <si>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</si>
  <si>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</si>
  <si>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</si>
  <si>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</si>
  <si>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</si>
  <si>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</si>
  <si>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</si>
  <si>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</si>
  <si>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</si>
  <si>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</si>
  <si>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MultiFunctional Storage Rack Multi-layer Booelf</t>
  </si>
  <si>
    <t>Old price</t>
  </si>
  <si>
    <t>Discount Amount</t>
  </si>
  <si>
    <t>Ratings</t>
  </si>
  <si>
    <t>N/A</t>
  </si>
  <si>
    <t>Rating Category</t>
  </si>
  <si>
    <t>Discount Category</t>
  </si>
  <si>
    <t>Row Labels</t>
  </si>
  <si>
    <t>Grand Total</t>
  </si>
  <si>
    <t>Max of Ratings</t>
  </si>
  <si>
    <t>Top products by rating</t>
  </si>
  <si>
    <t>PRODUCT</t>
  </si>
  <si>
    <t>Medium Discount</t>
  </si>
  <si>
    <t>Excellent</t>
  </si>
  <si>
    <t>Average</t>
  </si>
  <si>
    <t>High Discount</t>
  </si>
  <si>
    <t>Poor</t>
  </si>
  <si>
    <t>Low Discount</t>
  </si>
  <si>
    <t>Max of Review</t>
  </si>
  <si>
    <t>Max of Discount</t>
  </si>
  <si>
    <t>Top 10 products by Discount Percentage</t>
  </si>
  <si>
    <t>Count of Product</t>
  </si>
  <si>
    <t>Breakdown of products by rating category</t>
  </si>
  <si>
    <t>Breakdown of products by discount category</t>
  </si>
  <si>
    <t>Top 10 products by Highest Number of Reviews</t>
  </si>
  <si>
    <t>401-600</t>
  </si>
  <si>
    <t>601-800</t>
  </si>
  <si>
    <t>201-400</t>
  </si>
  <si>
    <t>801-1000</t>
  </si>
  <si>
    <t>2401-2600</t>
  </si>
  <si>
    <t>1-200</t>
  </si>
  <si>
    <t>1601-1800</t>
  </si>
  <si>
    <t>1401-1600</t>
  </si>
  <si>
    <t>2201-2400</t>
  </si>
  <si>
    <t>1201-1400</t>
  </si>
  <si>
    <t>1801-2000</t>
  </si>
  <si>
    <t>1001-1200</t>
  </si>
  <si>
    <t>No of Review</t>
  </si>
  <si>
    <t>Count of Review</t>
  </si>
  <si>
    <t>0.41-0.51</t>
  </si>
  <si>
    <t>0.31-0.41</t>
  </si>
  <si>
    <t>0.21-0.31</t>
  </si>
  <si>
    <t>0.01-0.11</t>
  </si>
  <si>
    <t>0.51-0.61</t>
  </si>
  <si>
    <t>0.11-0.21</t>
  </si>
  <si>
    <t>0.61-0.71</t>
  </si>
  <si>
    <t>DISCOUNT %</t>
  </si>
  <si>
    <t>DISCOUNT AMOUNT</t>
  </si>
  <si>
    <t>RATING CATEGORY</t>
  </si>
  <si>
    <t>1-500</t>
  </si>
  <si>
    <t>501-1000</t>
  </si>
  <si>
    <t>1001-1500</t>
  </si>
  <si>
    <t>1501-2000</t>
  </si>
  <si>
    <t>2001-2500</t>
  </si>
  <si>
    <t>2501-3000</t>
  </si>
  <si>
    <t>3501-4000</t>
  </si>
  <si>
    <t>CURRENT PRODUCT PRICE</t>
  </si>
  <si>
    <t>Count of Discount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</si>
</sst>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KES]\ #,##0"/>
    <numFmt numFmtId="165" formatCode="0.0"/>
  </numFmts>
  <fonts count="3" x14ac:knownFonts="1">
    <font>
      <sz val="10"/>
      <color rgb="FF000000"/>
      <name val="Roboto"/>
    </font>
    <font>
      <sz val="10"/>
      <name val="Roboto"/>
    </font>
    <font>
      <b/>
      <sz val="10"/>
      <color rgb="FF000000"/>
      <name val="Roboto"/>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alignment vertical="top"/>
    </xf>
  </cellStyleXfs>
  <cellXfs count="13">
    <xf numFmtId="0" fontId="0" fillId="0" borderId="0" xfId="0">
      <alignment vertical="top"/>
    </xf>
    <xf numFmtId="9" fontId="1" fillId="0" borderId="0" xfId="0" applyNumberFormat="1" applyFont="1">
      <alignment vertical="top"/>
    </xf>
    <xf numFmtId="164" fontId="0" fillId="0" borderId="0" xfId="0" applyNumberFormat="1">
      <alignment vertical="top"/>
    </xf>
    <xf numFmtId="165" fontId="0" fillId="0" borderId="0" xfId="0" applyNumberFormat="1">
      <alignment vertical="top"/>
    </xf>
    <xf numFmtId="1" fontId="0" fillId="0" borderId="0" xfId="0" applyNumberFormat="1">
      <alignment vertical="top"/>
    </xf>
    <xf numFmtId="9" fontId="0" fillId="0" borderId="0" xfId="0" applyNumberFormat="1">
      <alignment vertical="top"/>
    </xf>
    <xf numFmtId="0" fontId="0" fillId="0" borderId="0" xfId="0" pivotButton="1">
      <alignment vertical="top"/>
    </xf>
    <xf numFmtId="0" fontId="0" fillId="0" borderId="0" xfId="0" applyAlignment="1">
      <alignment horizontal="left" vertical="top"/>
    </xf>
    <xf numFmtId="0" fontId="2" fillId="0" borderId="0" xfId="0" applyFont="1">
      <alignment vertical="top"/>
    </xf>
    <xf numFmtId="0" fontId="0" fillId="2" borderId="0" xfId="0" applyFill="1">
      <alignment vertical="top"/>
    </xf>
    <xf numFmtId="164" fontId="0" fillId="0" borderId="0" xfId="0" applyNumberFormat="1" applyAlignment="1">
      <alignment horizontal="left" vertical="top"/>
    </xf>
    <xf numFmtId="9" fontId="0" fillId="0" borderId="0" xfId="0" applyNumberFormat="1" applyAlignment="1">
      <alignment horizontal="left" vertical="top"/>
    </xf>
    <xf numFmtId="0" fontId="0" fillId="0" borderId="0" xfId="0" applyNumberFormat="1">
      <alignment vertical="top"/>
    </xf>
  </cellXfs>
  <cellStyles count="1">
    <cellStyle name="Normal" xfId="0" builtinId="0" customBuiltin="1"/>
  </cellStyles>
  <dxfs count="14">
    <dxf>
      <numFmt numFmtId="13" formatCode="0%"/>
    </dxf>
    <dxf>
      <numFmt numFmtId="165" formatCode="0.0"/>
    </dxf>
    <dxf>
      <numFmt numFmtId="1" formatCode="0"/>
    </dxf>
    <dxf>
      <numFmt numFmtId="1" formatCode="0"/>
    </dxf>
    <dxf>
      <font>
        <b val="0"/>
        <i val="0"/>
        <strike val="0"/>
        <condense val="0"/>
        <extend val="0"/>
        <outline val="0"/>
        <shadow val="0"/>
        <u val="none"/>
        <vertAlign val="baseline"/>
        <sz val="10"/>
        <color auto="1"/>
        <name val="Roboto"/>
        <scheme val="none"/>
      </font>
      <numFmt numFmtId="13" formatCode="0%"/>
    </dxf>
    <dxf>
      <font>
        <b val="0"/>
        <i val="0"/>
        <strike val="0"/>
        <condense val="0"/>
        <extend val="0"/>
        <outline val="0"/>
        <shadow val="0"/>
        <u val="none"/>
        <vertAlign val="baseline"/>
        <sz val="10"/>
        <color auto="1"/>
        <name val="Roboto"/>
        <scheme val="none"/>
      </font>
      <numFmt numFmtId="13" formatCode="0%"/>
    </dxf>
    <dxf>
      <font>
        <b val="0"/>
        <i val="0"/>
        <strike val="0"/>
        <condense val="0"/>
        <extend val="0"/>
        <outline val="0"/>
        <shadow val="0"/>
        <u val="none"/>
        <vertAlign val="baseline"/>
        <sz val="10"/>
        <color auto="1"/>
        <name val="Roboto"/>
        <scheme val="none"/>
      </font>
      <numFmt numFmtId="13" formatCode="0%"/>
    </dxf>
    <dxf>
      <font>
        <b val="0"/>
        <i val="0"/>
        <strike val="0"/>
        <condense val="0"/>
        <extend val="0"/>
        <outline val="0"/>
        <shadow val="0"/>
        <u val="none"/>
        <vertAlign val="baseline"/>
        <sz val="10"/>
        <color auto="1"/>
        <name val="Roboto"/>
        <scheme val="none"/>
      </font>
      <numFmt numFmtId="13" formatCode="0%"/>
    </dxf>
    <dxf>
      <numFmt numFmtId="164" formatCode="[$KES]\ #,##0"/>
    </dxf>
    <dxf>
      <numFmt numFmtId="164" formatCode="[$KES]\ #,##0"/>
    </dxf>
    <dxf>
      <numFmt numFmtId="164" formatCode="[$KES]\ #,##0"/>
    </dxf>
    <dxf>
      <numFmt numFmtId="164" formatCode="[$KES]\ #,##0"/>
    </dxf>
    <dxf>
      <numFmt numFmtId="164" formatCode="[$KES]\ #,##0"/>
    </dxf>
    <dxf>
      <numFmt numFmtId="164" formatCode="[$KES]\ #,##0"/>
    </dxf>
  </dxfs>
  <tableStyles count="0" defaultTableStyle="TableStyleMedium2" defaultPivotStyle="PivotStyleLight16"/>
  <colors>
    <mruColors>
      <color rgb="FFF68B1E"/>
      <color rgb="FF2828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PRODUCTS BY RATING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TABLES'!$K$3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21-4D14-888F-F27A796B44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21-4D14-888F-F27A796B44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21-4D14-888F-F27A796B44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21-4D14-888F-F27A796B44AF}"/>
              </c:ext>
            </c:extLst>
          </c:dPt>
          <c:cat>
            <c:strRef>
              <c:f>'PIVOT TABLES'!$J$4:$J$8</c:f>
              <c:strCache>
                <c:ptCount val="4"/>
                <c:pt idx="0">
                  <c:v>Average</c:v>
                </c:pt>
                <c:pt idx="1">
                  <c:v>Excellent</c:v>
                </c:pt>
                <c:pt idx="2">
                  <c:v>N/A</c:v>
                </c:pt>
                <c:pt idx="3">
                  <c:v>Poor</c:v>
                </c:pt>
              </c:strCache>
            </c:strRef>
          </c:cat>
          <c:val>
            <c:numRef>
              <c:f>'PIVOT TABLES'!$K$4:$K$8</c:f>
              <c:numCache>
                <c:formatCode>General</c:formatCode>
                <c:ptCount val="4"/>
                <c:pt idx="0">
                  <c:v>22</c:v>
                </c:pt>
                <c:pt idx="1">
                  <c:v>22</c:v>
                </c:pt>
                <c:pt idx="2">
                  <c:v>52</c:v>
                </c:pt>
                <c:pt idx="3">
                  <c:v>12</c:v>
                </c:pt>
              </c:numCache>
            </c:numRef>
          </c:val>
          <c:extLst>
            <c:ext xmlns:c16="http://schemas.microsoft.com/office/drawing/2014/chart" uri="{C3380CC4-5D6E-409C-BE32-E72D297353CC}">
              <c16:uniqueId val="{00000000-8627-491C-93FE-8F46C4A309C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282828"/>
                </a:solidFill>
              </a:rPr>
              <a:t>TOP PRODUCTS BY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TABLES'!$B$3</c:f>
              <c:strCache>
                <c:ptCount val="1"/>
                <c:pt idx="0">
                  <c:v>Total</c:v>
                </c:pt>
              </c:strCache>
            </c:strRef>
          </c:tx>
          <c:spPr>
            <a:solidFill>
              <a:schemeClr val="accent1"/>
            </a:solidFill>
            <a:ln>
              <a:noFill/>
            </a:ln>
            <a:effectLst/>
            <a:sp3d/>
          </c:spPr>
          <c:invertIfNegative val="0"/>
          <c:cat>
            <c:strRef>
              <c:f>'PIVOT TABLES'!$A$4:$A$14</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'PIVOT TABLES'!$B$4:$B$14</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F13F-4A43-80D6-0EE6E7BDA5DD}"/>
            </c:ext>
          </c:extLst>
        </c:ser>
        <c:dLbls>
          <c:showLegendKey val="0"/>
          <c:showVal val="0"/>
          <c:showCatName val="0"/>
          <c:showSerName val="0"/>
          <c:showPercent val="0"/>
          <c:showBubbleSize val="0"/>
        </c:dLbls>
        <c:gapWidth val="150"/>
        <c:shape val="box"/>
        <c:axId val="1991829776"/>
        <c:axId val="1991821616"/>
        <c:axId val="0"/>
      </c:bar3DChart>
      <c:catAx>
        <c:axId val="1991829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821616"/>
        <c:crosses val="autoZero"/>
        <c:auto val="1"/>
        <c:lblAlgn val="ctr"/>
        <c:lblOffset val="100"/>
        <c:noMultiLvlLbl val="0"/>
      </c:catAx>
      <c:valAx>
        <c:axId val="1991821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82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 BY HIGHEST NUMBER OF REVIEWS</a:t>
            </a:r>
          </a:p>
        </c:rich>
      </c:tx>
      <c:layout>
        <c:manualLayout>
          <c:xMode val="edge"/>
          <c:yMode val="edge"/>
          <c:x val="0.16040266841644796"/>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TABLES'!$E$3</c:f>
              <c:strCache>
                <c:ptCount val="1"/>
                <c:pt idx="0">
                  <c:v>Total</c:v>
                </c:pt>
              </c:strCache>
            </c:strRef>
          </c:tx>
          <c:spPr>
            <a:solidFill>
              <a:schemeClr val="accent1"/>
            </a:solidFill>
            <a:ln>
              <a:noFill/>
            </a:ln>
            <a:effectLst/>
            <a:sp3d/>
          </c:spPr>
          <c:invertIfNegative val="0"/>
          <c:cat>
            <c:strRef>
              <c:f>'PIVOT TABLES'!$D$4:$D$14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'PIVOT TABLES'!$E$4:$E$14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47AD-4E04-BAC5-C4E69276B6ED}"/>
            </c:ext>
          </c:extLst>
        </c:ser>
        <c:dLbls>
          <c:showLegendKey val="0"/>
          <c:showVal val="0"/>
          <c:showCatName val="0"/>
          <c:showSerName val="0"/>
          <c:showPercent val="0"/>
          <c:showBubbleSize val="0"/>
        </c:dLbls>
        <c:gapWidth val="150"/>
        <c:shape val="box"/>
        <c:axId val="125367840"/>
        <c:axId val="125368320"/>
        <c:axId val="0"/>
      </c:bar3DChart>
      <c:catAx>
        <c:axId val="125367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68320"/>
        <c:crosses val="autoZero"/>
        <c:auto val="1"/>
        <c:lblAlgn val="ctr"/>
        <c:lblOffset val="100"/>
        <c:noMultiLvlLbl val="0"/>
      </c:catAx>
      <c:valAx>
        <c:axId val="125368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6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[Excel_jumia.xlsx]PIVOT 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PRODUCTS BY DISCOUNT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TABLES'!$N$4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FD5-4FEB-B53C-2576E5BFDDE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FD5-4FEB-B53C-2576E5BFDDE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FD5-4FEB-B53C-2576E5BFDDE7}"/>
              </c:ext>
            </c:extLst>
          </c:dPt>
          <c:cat>
            <c:strRef>
              <c:f>'PIVOT TABLES'!$M$5:$M$8</c:f>
              <c:strCache>
                <c:ptCount val="3"/>
                <c:pt idx="0">
                  <c:v>High Discount</c:v>
                </c:pt>
                <c:pt idx="1">
                  <c:v>Low Discount</c:v>
                </c:pt>
                <c:pt idx="2">
                  <c:v>Medium Discount</c:v>
                </c:pt>
              </c:strCache>
            </c:strRef>
          </c:cat>
          <c:val>
            <c:numRef>
              <c:f>'PIVOT TABLES'!$N$5:$N$8</c:f>
              <c:numCache>
                <c:formatCode>General</c:formatCode>
                <c:ptCount val="3"/>
                <c:pt idx="0">
                  <c:v>59</c:v>
                </c:pt>
                <c:pt idx="1">
                  <c:v>18</c:v>
                </c:pt>
                <c:pt idx="2">
                  <c:v>31</c:v>
                </c:pt>
              </c:numCache>
            </c:numRef>
          </c:val>
          <c:extLst>
            <c:ext xmlns:c16="http://schemas.microsoft.com/office/drawing/2014/chart" uri="{C3380CC4-5D6E-409C-BE32-E72D297353CC}">
              <c16:uniqueId val="{00000000-7237-4D18-8F44-8C81CFBEABC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[Excel_jumia.xlsx]PIVOT TABLES!PivotTable1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282828"/>
                </a:solidFill>
              </a:rPr>
              <a:t>TOP PRODUCTS BY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TABLES'!$B$3</c:f>
              <c:strCache>
                <c:ptCount val="1"/>
                <c:pt idx="0">
                  <c:v>Total</c:v>
                </c:pt>
              </c:strCache>
            </c:strRef>
          </c:tx>
          <c:spPr>
            <a:solidFill>
              <a:schemeClr val="accent1"/>
            </a:solidFill>
            <a:ln>
              <a:noFill/>
            </a:ln>
            <a:effectLst/>
            <a:sp3d/>
          </c:spPr>
          <c:invertIfNegative val="0"/>
          <c:cat>
            <c:strRef>
              <c:f>'PIVOT TABLES'!$A$4:$A$14</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'PIVOT TABLES'!$B$4:$B$14</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D6EA-4280-B949-27C4CDE1FC77}"/>
            </c:ext>
          </c:extLst>
        </c:ser>
        <c:dLbls>
          <c:showLegendKey val="0"/>
          <c:showVal val="0"/>
          <c:showCatName val="0"/>
          <c:showSerName val="0"/>
          <c:showPercent val="0"/>
          <c:showBubbleSize val="0"/>
        </c:dLbls>
        <c:gapWidth val="150"/>
        <c:shape val="box"/>
        <c:axId val="1991829776"/>
        <c:axId val="1991821616"/>
        <c:axId val="0"/>
      </c:bar3DChart>
      <c:catAx>
        <c:axId val="1991829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821616"/>
        <c:crosses val="autoZero"/>
        <c:auto val="1"/>
        <c:lblAlgn val="ctr"/>
        <c:lblOffset val="100"/>
        <c:noMultiLvlLbl val="0"/>
      </c:catAx>
      <c:valAx>
        <c:axId val="1991821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82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PRODUCTS BY RATING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 TABLES'!$K$3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45-465C-AA48-8914035255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45-465C-AA48-8914035255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45-465C-AA48-89140352557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F45-465C-AA48-891403525576}"/>
              </c:ext>
            </c:extLst>
          </c:dPt>
          <c:cat>
            <c:strRef>
              <c:f>'PIVOT TABLES'!$J$4:$J$8</c:f>
              <c:strCache>
                <c:ptCount val="4"/>
                <c:pt idx="0">
                  <c:v>Average</c:v>
                </c:pt>
                <c:pt idx="1">
                  <c:v>Excellent</c:v>
                </c:pt>
                <c:pt idx="2">
                  <c:v>N/A</c:v>
                </c:pt>
                <c:pt idx="3">
                  <c:v>Poor</c:v>
                </c:pt>
              </c:strCache>
            </c:strRef>
          </c:cat>
          <c:val>
            <c:numRef>
              <c:f>'PIVOT TABLES'!$K$4:$K$8</c:f>
              <c:numCache>
                <c:formatCode>General</c:formatCode>
                <c:ptCount val="4"/>
                <c:pt idx="0">
                  <c:v>22</c:v>
                </c:pt>
                <c:pt idx="1">
                  <c:v>22</c:v>
                </c:pt>
                <c:pt idx="2">
                  <c:v>52</c:v>
                </c:pt>
                <c:pt idx="3">
                  <c:v>12</c:v>
                </c:pt>
              </c:numCache>
            </c:numRef>
          </c:val>
          <c:extLst>
            <c:ext xmlns:c16="http://schemas.microsoft.com/office/drawing/2014/chart" uri="{C3380CC4-5D6E-409C-BE32-E72D297353CC}">
              <c16:uniqueId val="{00000008-6F45-465C-AA48-89140352557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PRODUCTS BY DISCOUNT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TABLES'!$N$4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1E3-4474-912E-E79781E8BC6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1E3-4474-912E-E79781E8BC6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1E3-4474-912E-E79781E8BC6D}"/>
              </c:ext>
            </c:extLst>
          </c:dPt>
          <c:cat>
            <c:strRef>
              <c:f>'PIVOT TABLES'!$M$5:$M$8</c:f>
              <c:strCache>
                <c:ptCount val="3"/>
                <c:pt idx="0">
                  <c:v>High Discount</c:v>
                </c:pt>
                <c:pt idx="1">
                  <c:v>Low Discount</c:v>
                </c:pt>
                <c:pt idx="2">
                  <c:v>Medium Discount</c:v>
                </c:pt>
              </c:strCache>
            </c:strRef>
          </c:cat>
          <c:val>
            <c:numRef>
              <c:f>'PIVOT TABLES'!$N$5:$N$8</c:f>
              <c:numCache>
                <c:formatCode>General</c:formatCode>
                <c:ptCount val="3"/>
                <c:pt idx="0">
                  <c:v>59</c:v>
                </c:pt>
                <c:pt idx="1">
                  <c:v>18</c:v>
                </c:pt>
                <c:pt idx="2">
                  <c:v>31</c:v>
                </c:pt>
              </c:numCache>
            </c:numRef>
          </c:val>
          <c:extLst>
            <c:ext xmlns:c16="http://schemas.microsoft.com/office/drawing/2014/chart" uri="{C3380CC4-5D6E-409C-BE32-E72D297353CC}">
              <c16:uniqueId val="{00000006-51E3-4474-912E-E79781E8BC6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[Excel_jumia.xlsx]PIVOT TABLES!PivotTable11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PRODUCT PRICE BY CUSTOMER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TABLES'!$Y$11</c:f>
              <c:strCache>
                <c:ptCount val="1"/>
                <c:pt idx="0">
                  <c:v>Total</c:v>
                </c:pt>
              </c:strCache>
            </c:strRef>
          </c:tx>
          <c:spPr>
            <a:solidFill>
              <a:schemeClr val="accent1"/>
            </a:solidFill>
            <a:ln>
              <a:noFill/>
            </a:ln>
            <a:effectLst/>
            <a:sp3d/>
          </c:spPr>
          <c:invertIfNegative val="0"/>
          <c:cat>
            <c:strRef>
              <c:f>'PIVOT TABLES'!$X$12:$X$19</c:f>
              <c:strCache>
                <c:ptCount val="7"/>
                <c:pt idx="0">
                  <c:v>1-500</c:v>
                </c:pt>
                <c:pt idx="1">
                  <c:v>501-1000</c:v>
                </c:pt>
                <c:pt idx="2">
                  <c:v>1001-1500</c:v>
                </c:pt>
                <c:pt idx="3">
                  <c:v>1501-2000</c:v>
                </c:pt>
                <c:pt idx="4">
                  <c:v>2001-2500</c:v>
                </c:pt>
                <c:pt idx="5">
                  <c:v>2501-3000</c:v>
                </c:pt>
                <c:pt idx="6">
                  <c:v>3501-4000</c:v>
                </c:pt>
              </c:strCache>
            </c:strRef>
          </c:cat>
          <c:val>
            <c:numRef>
              <c:f>'PIVOT TABLES'!$Y$12:$Y$19</c:f>
              <c:numCache>
                <c:formatCode>General</c:formatCode>
                <c:ptCount val="7"/>
                <c:pt idx="0">
                  <c:v>69</c:v>
                </c:pt>
                <c:pt idx="1">
                  <c:v>44</c:v>
                </c:pt>
                <c:pt idx="2">
                  <c:v>16</c:v>
                </c:pt>
                <c:pt idx="3">
                  <c:v>32</c:v>
                </c:pt>
                <c:pt idx="4">
                  <c:v>55</c:v>
                </c:pt>
                <c:pt idx="5">
                  <c:v>15</c:v>
                </c:pt>
                <c:pt idx="6">
                  <c:v>5</c:v>
                </c:pt>
              </c:numCache>
            </c:numRef>
          </c:val>
          <c:extLst>
            <c:ext xmlns:c16="http://schemas.microsoft.com/office/drawing/2014/chart" uri="{C3380CC4-5D6E-409C-BE32-E72D297353CC}">
              <c16:uniqueId val="{00000000-D5A6-401E-8270-1D999BFDCC52}"/>
            </c:ext>
          </c:extLst>
        </c:ser>
        <c:dLbls>
          <c:showLegendKey val="0"/>
          <c:showVal val="0"/>
          <c:showCatName val="0"/>
          <c:showSerName val="0"/>
          <c:showPercent val="0"/>
          <c:showBubbleSize val="0"/>
        </c:dLbls>
        <c:gapWidth val="150"/>
        <c:shape val="box"/>
        <c:axId val="673330255"/>
        <c:axId val="673338415"/>
        <c:axId val="0"/>
      </c:bar3DChart>
      <c:catAx>
        <c:axId val="673330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338415"/>
        <c:crosses val="autoZero"/>
        <c:auto val="1"/>
        <c:lblAlgn val="ctr"/>
        <c:lblOffset val="100"/>
        <c:noMultiLvlLbl val="0"/>
      </c:catAx>
      <c:valAx>
        <c:axId val="67333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33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247650</xdr:colOff>
      <xdr:row>14</xdr:row>
      <xdr:rowOff>25399</xdr:rowOff>
    </xdr:from>
    <xdr:to>
      <xdr:col>11</xdr:col>
      <xdr:colOff>787400</xdr:colOff>
      <xdr:row>26</xdr:row>
      <xdr:rowOff>95250</xdr:rowOff>
    </xdr:to>
    <xdr:graphicFrame macro="">
      <xdr:nvGraphicFramePr>
        <xdr:cNvPr id="2" name="Chart 1">
          <a:extLst>
            <a:ext uri="{FF2B5EF4-FFF2-40B4-BE49-F238E27FC236}">
              <a16:creationId xmlns:a16="http://schemas.microsoft.com/office/drawing/2014/main" id="{5E67C2E5-C736-40BB-5DBD-9CB3A4D68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98425</xdr:colOff>
      <xdr:row>16</xdr:row>
      <xdr:rowOff>92075</xdr:rowOff>
    </xdr:from>
    <xdr:to>
      <xdr:col>1</xdr:col>
      <xdr:colOff>250825</xdr:colOff>
      <xdr:row>33</xdr:row>
      <xdr:rowOff>28575</xdr:rowOff>
    </xdr:to>
    <xdr:graphicFrame macro="">
      <xdr:nvGraphicFramePr>
        <xdr:cNvPr id="3" name="Chart 2">
          <a:extLst>
            <a:ext uri="{FF2B5EF4-FFF2-40B4-BE49-F238E27FC236}">
              <a16:creationId xmlns:a16="http://schemas.microsoft.com/office/drawing/2014/main" id="{A5FA192D-1AC1-C16A-33AB-E989E0D46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428625</xdr:colOff>
      <xdr:row>16</xdr:row>
      <xdr:rowOff>47625</xdr:rowOff>
    </xdr:from>
    <xdr:to>
      <xdr:col>4</xdr:col>
      <xdr:colOff>168275</xdr:colOff>
      <xdr:row>32</xdr:row>
      <xdr:rowOff>149225</xdr:rowOff>
    </xdr:to>
    <xdr:graphicFrame macro="">
      <xdr:nvGraphicFramePr>
        <xdr:cNvPr id="4" name="Chart 3">
          <a:extLst>
            <a:ext uri="{FF2B5EF4-FFF2-40B4-BE49-F238E27FC236}">
              <a16:creationId xmlns:a16="http://schemas.microsoft.com/office/drawing/2014/main" id="{834E7743-9497-AE86-92B4-2349498BE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41275</xdr:colOff>
      <xdr:row>13</xdr:row>
      <xdr:rowOff>130175</xdr:rowOff>
    </xdr:from>
    <xdr:to>
      <xdr:col>15</xdr:col>
      <xdr:colOff>679450</xdr:colOff>
      <xdr:row>27</xdr:row>
      <xdr:rowOff>25400</xdr:rowOff>
    </xdr:to>
    <xdr:graphicFrame macro="">
      <xdr:nvGraphicFramePr>
        <xdr:cNvPr id="5" name="Chart 4">
          <a:extLst>
            <a:ext uri="{FF2B5EF4-FFF2-40B4-BE49-F238E27FC236}">
              <a16:creationId xmlns:a16="http://schemas.microsoft.com/office/drawing/2014/main" id="{0E6CF0D0-2945-4ED2-8C26-F7ED7336F1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825500</xdr:colOff>
      <xdr:row>15</xdr:row>
      <xdr:rowOff>158750</xdr:rowOff>
    </xdr:from>
    <xdr:to>
      <xdr:col>6</xdr:col>
      <xdr:colOff>1143000</xdr:colOff>
      <xdr:row>30</xdr:row>
      <xdr:rowOff>15872</xdr:rowOff>
    </xdr:to>
    <mc:AlternateContent xmlns:mc="http://schemas.openxmlformats.org/markup-compatibility/2006" xmlns:a14="http://schemas.microsoft.com/office/drawing/2010/main">
      <mc:Choice Requires="a14">
        <xdr:graphicFrame macro="">
          <xdr:nvGraphicFramePr>
            <xdr:cNvPr id="6" name="Rating Category">
              <a:extLst>
                <a:ext uri="{FF2B5EF4-FFF2-40B4-BE49-F238E27FC236}">
                  <a16:creationId xmlns:a16="http://schemas.microsoft.com/office/drawing/2014/main" id="{85D6F188-4197-521D-3A4E-843CFFB01304}"/>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10998200" y="2635250"/>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1416050</xdr:colOff>
      <xdr:row>15</xdr:row>
      <xdr:rowOff>158750</xdr:rowOff>
    </xdr:from>
    <xdr:to>
      <xdr:col>6</xdr:col>
      <xdr:colOff>3244850</xdr:colOff>
      <xdr:row>30</xdr:row>
      <xdr:rowOff>15872</xdr:rowOff>
    </xdr:to>
    <mc:AlternateContent xmlns:mc="http://schemas.openxmlformats.org/markup-compatibility/2006" xmlns:a14="http://schemas.microsoft.com/office/drawing/2010/main">
      <mc:Choice Requires="a14">
        <xdr:graphicFrame macro="">
          <xdr:nvGraphicFramePr>
            <xdr:cNvPr id="7" name="Discount Category">
              <a:extLst>
                <a:ext uri="{FF2B5EF4-FFF2-40B4-BE49-F238E27FC236}">
                  <a16:creationId xmlns:a16="http://schemas.microsoft.com/office/drawing/2014/main" id="{40BAE82B-7170-E90D-4A6E-2797BA460A8C}"/>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13100050" y="2635250"/>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3670300</xdr:colOff>
      <xdr:row>16</xdr:row>
      <xdr:rowOff>12700</xdr:rowOff>
    </xdr:from>
    <xdr:to>
      <xdr:col>7</xdr:col>
      <xdr:colOff>768350</xdr:colOff>
      <xdr:row>30</xdr:row>
      <xdr:rowOff>34922</xdr:rowOff>
    </xdr:to>
    <mc:AlternateContent xmlns:mc="http://schemas.openxmlformats.org/markup-compatibility/2006" xmlns:a14="http://schemas.microsoft.com/office/drawing/2010/main">
      <mc:Choice Requires="a14">
        <xdr:graphicFrame macro="">
          <xdr:nvGraphicFramePr>
            <xdr:cNvPr id="8" name="Discount">
              <a:extLst>
                <a:ext uri="{FF2B5EF4-FFF2-40B4-BE49-F238E27FC236}">
                  <a16:creationId xmlns:a16="http://schemas.microsoft.com/office/drawing/2014/main" id="{AF8FA3E0-D5B8-0ABA-A1D4-71EF86862F14}"/>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15354300" y="2654300"/>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266700</xdr:colOff>
      <xdr:row>20</xdr:row>
      <xdr:rowOff>95250</xdr:rowOff>
    </xdr:from>
    <xdr:to>
      <xdr:col>24</xdr:col>
      <xdr:colOff>298450</xdr:colOff>
      <xdr:row>34</xdr:row>
      <xdr:rowOff>117472</xdr:rowOff>
    </xdr:to>
    <mc:AlternateContent xmlns:mc="http://schemas.openxmlformats.org/markup-compatibility/2006" xmlns:a14="http://schemas.microsoft.com/office/drawing/2010/main">
      <mc:Choice Requires="a14">
        <xdr:graphicFrame macro="">
          <xdr:nvGraphicFramePr>
            <xdr:cNvPr id="9" name="Discount 1">
              <a:extLst>
                <a:ext uri="{FF2B5EF4-FFF2-40B4-BE49-F238E27FC236}">
                  <a16:creationId xmlns:a16="http://schemas.microsoft.com/office/drawing/2014/main" id="{EEB6EE27-F3C6-18CC-5C96-DCD19AE9ABF3}"/>
                </a:ext>
              </a:extLst>
            </xdr:cNvPr>
            <xdr:cNvGraphicFramePr/>
          </xdr:nvGraphicFramePr>
          <xdr:xfrm>
            <a:off x="0" y="0"/>
            <a:ext cx="0" cy="0"/>
          </xdr:xfrm>
          <a:graphic>
            <a:graphicData uri="http://schemas.microsoft.com/office/drawing/2010/slicer">
              <sle:slicer xmlns:sle="http://schemas.microsoft.com/office/drawing/2010/slicer" name="Discount 1"/>
            </a:graphicData>
          </a:graphic>
        </xdr:graphicFrame>
      </mc:Choice>
      <mc:Fallback xmlns="">
        <xdr:sp macro="" textlink="">
          <xdr:nvSpPr>
            <xdr:cNvPr id="0" name=""/>
            <xdr:cNvSpPr>
              <a:spLocks noTextEdit="1"/>
            </xdr:cNvSpPr>
          </xdr:nvSpPr>
          <xdr:spPr>
            <a:xfrm>
              <a:off x="32969200" y="3397250"/>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222250</xdr:colOff>
      <xdr:row>1</xdr:row>
      <xdr:rowOff>133350</xdr:rowOff>
    </xdr:from>
    <xdr:to>
      <xdr:col>18</xdr:col>
      <xdr:colOff>95250</xdr:colOff>
      <xdr:row>6</xdr:row>
      <xdr:rowOff>0</xdr:rowOff>
    </xdr:to>
    <xdr:sp macro="" textlink="">
      <xdr:nvSpPr>
        <xdr:cNvPr id="2" name="Rectangle: Rounded Corners 1">
          <a:extLst>
            <a:ext uri="{FF2B5EF4-FFF2-40B4-BE49-F238E27FC236}">
              <a16:creationId xmlns:a16="http://schemas.microsoft.com/office/drawing/2014/main" id="{44649249-8E18-7532-BEEE-7ED4C58E4890}"/>
            </a:ext>
          </a:extLst>
        </xdr:cNvPr>
        <xdr:cNvSpPr/>
      </xdr:nvSpPr>
      <xdr:spPr>
        <a:xfrm>
          <a:off x="2660650" y="298450"/>
          <a:ext cx="8407400" cy="692150"/>
        </a:xfrm>
        <a:prstGeom prst="roundRect">
          <a:avLst/>
        </a:prstGeom>
        <a:solidFill>
          <a:srgbClr val="F68B1E"/>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2800" b="1"/>
            <a:t>           JUMIA PRODUCT PERFORMANCE DASHBOARD</a:t>
          </a:r>
        </a:p>
      </xdr:txBody>
    </xdr:sp>
    <xdr:clientData/>
  </xdr:twoCellAnchor>
  <xdr:twoCellAnchor editAs="oneCell">
    <xdr:from>
      <xdr:col>0</xdr:col>
      <xdr:colOff>146050</xdr:colOff>
      <xdr:row>6</xdr:row>
      <xdr:rowOff>120650</xdr:rowOff>
    </xdr:from>
    <xdr:to>
      <xdr:col>3</xdr:col>
      <xdr:colOff>171450</xdr:colOff>
      <xdr:row>16</xdr:row>
      <xdr:rowOff>6350</xdr:rowOff>
    </xdr:to>
    <mc:AlternateContent xmlns:mc="http://schemas.openxmlformats.org/markup-compatibility/2006" xmlns:a14="http://schemas.microsoft.com/office/drawing/2010/main">
      <mc:Choice Requires="a14">
        <xdr:graphicFrame macro="">
          <xdr:nvGraphicFramePr>
            <xdr:cNvPr id="3" name="Rating Category 1">
              <a:extLst>
                <a:ext uri="{FF2B5EF4-FFF2-40B4-BE49-F238E27FC236}">
                  <a16:creationId xmlns:a16="http://schemas.microsoft.com/office/drawing/2014/main" id="{6AA8F8A2-A49D-434F-9E40-4F9B66C73421}"/>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146050" y="1111250"/>
              <a:ext cx="1854200" cy="1536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16</xdr:row>
      <xdr:rowOff>114300</xdr:rowOff>
    </xdr:from>
    <xdr:to>
      <xdr:col>3</xdr:col>
      <xdr:colOff>146050</xdr:colOff>
      <xdr:row>24</xdr:row>
      <xdr:rowOff>107950</xdr:rowOff>
    </xdr:to>
    <mc:AlternateContent xmlns:mc="http://schemas.openxmlformats.org/markup-compatibility/2006" xmlns:a14="http://schemas.microsoft.com/office/drawing/2010/main">
      <mc:Choice Requires="a14">
        <xdr:graphicFrame macro="">
          <xdr:nvGraphicFramePr>
            <xdr:cNvPr id="4" name="Discount Category 1">
              <a:extLst>
                <a:ext uri="{FF2B5EF4-FFF2-40B4-BE49-F238E27FC236}">
                  <a16:creationId xmlns:a16="http://schemas.microsoft.com/office/drawing/2014/main" id="{4D75D6C9-241F-45DA-8C90-A93EA4516BBD}"/>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152400" y="2755900"/>
              <a:ext cx="1822450"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247650</xdr:colOff>
      <xdr:row>25</xdr:row>
      <xdr:rowOff>31750</xdr:rowOff>
    </xdr:from>
    <xdr:to>
      <xdr:col>3</xdr:col>
      <xdr:colOff>247650</xdr:colOff>
      <xdr:row>39</xdr:row>
      <xdr:rowOff>53972</xdr:rowOff>
    </xdr:to>
    <mc:AlternateContent xmlns:mc="http://schemas.openxmlformats.org/markup-compatibility/2006" xmlns:a14="http://schemas.microsoft.com/office/drawing/2010/main">
      <mc:Choice Requires="a14">
        <xdr:graphicFrame macro="">
          <xdr:nvGraphicFramePr>
            <xdr:cNvPr id="5" name="Discount 2">
              <a:extLst>
                <a:ext uri="{FF2B5EF4-FFF2-40B4-BE49-F238E27FC236}">
                  <a16:creationId xmlns:a16="http://schemas.microsoft.com/office/drawing/2014/main" id="{C9415D57-8F74-4E99-A30E-F6BE07BEDF5D}"/>
                </a:ext>
              </a:extLst>
            </xdr:cNvPr>
            <xdr:cNvGraphicFramePr/>
          </xdr:nvGraphicFramePr>
          <xdr:xfrm>
            <a:off x="0" y="0"/>
            <a:ext cx="0" cy="0"/>
          </xdr:xfrm>
          <a:graphic>
            <a:graphicData uri="http://schemas.microsoft.com/office/drawing/2010/slicer">
              <sle:slicer xmlns:sle="http://schemas.microsoft.com/office/drawing/2010/slicer" name="Discount 2"/>
            </a:graphicData>
          </a:graphic>
        </xdr:graphicFrame>
      </mc:Choice>
      <mc:Fallback xmlns="">
        <xdr:sp macro="" textlink="">
          <xdr:nvSpPr>
            <xdr:cNvPr id="0" name=""/>
            <xdr:cNvSpPr>
              <a:spLocks noTextEdit="1"/>
            </xdr:cNvSpPr>
          </xdr:nvSpPr>
          <xdr:spPr>
            <a:xfrm>
              <a:off x="247650" y="4159250"/>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450850</xdr:colOff>
      <xdr:row>7</xdr:row>
      <xdr:rowOff>19050</xdr:rowOff>
    </xdr:from>
    <xdr:to>
      <xdr:col>11</xdr:col>
      <xdr:colOff>6350</xdr:colOff>
      <xdr:row>13</xdr:row>
      <xdr:rowOff>0</xdr:rowOff>
    </xdr:to>
    <xdr:sp macro="" textlink="">
      <xdr:nvSpPr>
        <xdr:cNvPr id="11" name="Rectangle: Rounded Corners 10">
          <a:extLst>
            <a:ext uri="{FF2B5EF4-FFF2-40B4-BE49-F238E27FC236}">
              <a16:creationId xmlns:a16="http://schemas.microsoft.com/office/drawing/2014/main" id="{99A02449-2230-4969-8113-D6CA762FC8D3}"/>
            </a:ext>
          </a:extLst>
        </xdr:cNvPr>
        <xdr:cNvSpPr/>
      </xdr:nvSpPr>
      <xdr:spPr>
        <a:xfrm>
          <a:off x="4718050" y="1174750"/>
          <a:ext cx="1993900" cy="971550"/>
        </a:xfrm>
        <a:prstGeom prst="roundRect">
          <a:avLst/>
        </a:prstGeom>
        <a:solidFill>
          <a:srgbClr val="F68B1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baseline="0">
              <a:solidFill>
                <a:schemeClr val="lt1"/>
              </a:solidFill>
              <a:latin typeface="+mn-lt"/>
              <a:ea typeface="+mn-ea"/>
              <a:cs typeface="+mn-cs"/>
            </a:rPr>
            <a:t>AVERAGE RATING</a:t>
          </a:r>
        </a:p>
        <a:p>
          <a:pPr algn="l"/>
          <a:r>
            <a:rPr lang="en-US" sz="3200" b="1" i="0" u="none" strike="noStrike" baseline="0">
              <a:solidFill>
                <a:schemeClr val="tx1"/>
              </a:solidFill>
              <a:latin typeface="+mn-lt"/>
              <a:ea typeface="+mn-ea"/>
              <a:cs typeface="+mn-cs"/>
            </a:rPr>
            <a:t>       3.9</a:t>
          </a:r>
          <a:endParaRPr lang="en-US" sz="3200" b="1">
            <a:solidFill>
              <a:schemeClr val="tx1"/>
            </a:solidFill>
          </a:endParaRPr>
        </a:p>
      </xdr:txBody>
    </xdr:sp>
    <xdr:clientData/>
  </xdr:twoCellAnchor>
  <xdr:twoCellAnchor>
    <xdr:from>
      <xdr:col>11</xdr:col>
      <xdr:colOff>450850</xdr:colOff>
      <xdr:row>7</xdr:row>
      <xdr:rowOff>25400</xdr:rowOff>
    </xdr:from>
    <xdr:to>
      <xdr:col>14</xdr:col>
      <xdr:colOff>260350</xdr:colOff>
      <xdr:row>13</xdr:row>
      <xdr:rowOff>0</xdr:rowOff>
    </xdr:to>
    <xdr:sp macro="" textlink="">
      <xdr:nvSpPr>
        <xdr:cNvPr id="14" name="Rectangle: Rounded Corners 13">
          <a:extLst>
            <a:ext uri="{FF2B5EF4-FFF2-40B4-BE49-F238E27FC236}">
              <a16:creationId xmlns:a16="http://schemas.microsoft.com/office/drawing/2014/main" id="{CB7548E8-2B89-434C-B103-3831298118EA}"/>
            </a:ext>
          </a:extLst>
        </xdr:cNvPr>
        <xdr:cNvSpPr/>
      </xdr:nvSpPr>
      <xdr:spPr>
        <a:xfrm>
          <a:off x="7156450" y="1181100"/>
          <a:ext cx="1638300" cy="965200"/>
        </a:xfrm>
        <a:prstGeom prst="roundRect">
          <a:avLst/>
        </a:prstGeom>
        <a:solidFill>
          <a:srgbClr val="F68B1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AVERAGE DISCOUNT PERCENTAGE</a:t>
          </a:r>
        </a:p>
        <a:p>
          <a:pPr algn="ctr"/>
          <a:r>
            <a:rPr lang="en-US" sz="2000" b="1">
              <a:solidFill>
                <a:schemeClr val="tx1"/>
              </a:solidFill>
            </a:rPr>
            <a:t>36%</a:t>
          </a:r>
        </a:p>
      </xdr:txBody>
    </xdr:sp>
    <xdr:clientData/>
  </xdr:twoCellAnchor>
  <xdr:twoCellAnchor>
    <xdr:from>
      <xdr:col>15</xdr:col>
      <xdr:colOff>133350</xdr:colOff>
      <xdr:row>7</xdr:row>
      <xdr:rowOff>31750</xdr:rowOff>
    </xdr:from>
    <xdr:to>
      <xdr:col>18</xdr:col>
      <xdr:colOff>31750</xdr:colOff>
      <xdr:row>13</xdr:row>
      <xdr:rowOff>12700</xdr:rowOff>
    </xdr:to>
    <xdr:sp macro="" textlink="">
      <xdr:nvSpPr>
        <xdr:cNvPr id="15" name="Rectangle: Rounded Corners 14">
          <a:extLst>
            <a:ext uri="{FF2B5EF4-FFF2-40B4-BE49-F238E27FC236}">
              <a16:creationId xmlns:a16="http://schemas.microsoft.com/office/drawing/2014/main" id="{76975904-702B-444D-AF1F-656CA2AFB83B}"/>
            </a:ext>
          </a:extLst>
        </xdr:cNvPr>
        <xdr:cNvSpPr/>
      </xdr:nvSpPr>
      <xdr:spPr>
        <a:xfrm>
          <a:off x="9277350" y="1187450"/>
          <a:ext cx="1727200" cy="971550"/>
        </a:xfrm>
        <a:prstGeom prst="roundRect">
          <a:avLst/>
        </a:prstGeom>
        <a:solidFill>
          <a:srgbClr val="F68B1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TOTAL NUMBER OF</a:t>
          </a:r>
          <a:r>
            <a:rPr lang="en-US" sz="1400" b="1" baseline="0"/>
            <a:t> REVIEWS</a:t>
          </a:r>
        </a:p>
        <a:p>
          <a:pPr algn="l"/>
          <a:r>
            <a:rPr lang="en-US" sz="2000" b="1" baseline="0">
              <a:solidFill>
                <a:schemeClr val="tx1"/>
              </a:solidFill>
            </a:rPr>
            <a:t>          56</a:t>
          </a:r>
        </a:p>
      </xdr:txBody>
    </xdr:sp>
    <xdr:clientData/>
  </xdr:twoCellAnchor>
  <xdr:twoCellAnchor>
    <xdr:from>
      <xdr:col>17</xdr:col>
      <xdr:colOff>419100</xdr:colOff>
      <xdr:row>15</xdr:row>
      <xdr:rowOff>146050</xdr:rowOff>
    </xdr:from>
    <xdr:to>
      <xdr:col>19</xdr:col>
      <xdr:colOff>50800</xdr:colOff>
      <xdr:row>18</xdr:row>
      <xdr:rowOff>76200</xdr:rowOff>
    </xdr:to>
    <xdr:sp macro="" textlink="">
      <xdr:nvSpPr>
        <xdr:cNvPr id="1025" name="Text Box 1">
          <a:extLst>
            <a:ext uri="{FF2B5EF4-FFF2-40B4-BE49-F238E27FC236}">
              <a16:creationId xmlns:a16="http://schemas.microsoft.com/office/drawing/2014/main" id="{3373E0F5-B7F7-24C3-F7D8-0995877A0D17}"/>
            </a:ext>
          </a:extLst>
        </xdr:cNvPr>
        <xdr:cNvSpPr txBox="1">
          <a:spLocks noChangeArrowheads="1"/>
        </xdr:cNvSpPr>
      </xdr:nvSpPr>
      <xdr:spPr bwMode="auto">
        <a:xfrm>
          <a:off x="10782300" y="2622550"/>
          <a:ext cx="850900" cy="42545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000" b="0" i="0" u="none" strike="noStrike" baseline="0">
              <a:solidFill>
                <a:srgbClr val="000000"/>
              </a:solidFill>
              <a:latin typeface="Roboto"/>
              <a:ea typeface="Roboto"/>
              <a:cs typeface="Roboto"/>
            </a:rPr>
            <a:t>AVERAGE DISCOUNT PERCENTAG</a:t>
          </a:r>
        </a:p>
      </xdr:txBody>
    </xdr:sp>
    <xdr:clientData/>
  </xdr:twoCellAnchor>
  <xdr:twoCellAnchor>
    <xdr:from>
      <xdr:col>18</xdr:col>
      <xdr:colOff>0</xdr:colOff>
      <xdr:row>19</xdr:row>
      <xdr:rowOff>0</xdr:rowOff>
    </xdr:from>
    <xdr:to>
      <xdr:col>19</xdr:col>
      <xdr:colOff>88900</xdr:colOff>
      <xdr:row>22</xdr:row>
      <xdr:rowOff>0</xdr:rowOff>
    </xdr:to>
    <xdr:sp macro="" textlink="">
      <xdr:nvSpPr>
        <xdr:cNvPr id="1026" name="Text Box 2">
          <a:extLst>
            <a:ext uri="{FF2B5EF4-FFF2-40B4-BE49-F238E27FC236}">
              <a16:creationId xmlns:a16="http://schemas.microsoft.com/office/drawing/2014/main" id="{483A29DF-871B-CB68-2697-7ED8C8409834}"/>
            </a:ext>
          </a:extLst>
        </xdr:cNvPr>
        <xdr:cNvSpPr txBox="1">
          <a:spLocks noChangeArrowheads="1"/>
        </xdr:cNvSpPr>
      </xdr:nvSpPr>
      <xdr:spPr bwMode="auto">
        <a:xfrm>
          <a:off x="10972800" y="3136900"/>
          <a:ext cx="698500" cy="49530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000" b="0" i="0" u="none" strike="noStrike" baseline="0">
              <a:solidFill>
                <a:srgbClr val="000000"/>
              </a:solidFill>
              <a:latin typeface="Roboto"/>
              <a:ea typeface="Roboto"/>
              <a:cs typeface="Roboto"/>
            </a:rPr>
            <a:t> Total number of reviews</a:t>
          </a:r>
        </a:p>
      </xdr:txBody>
    </xdr:sp>
    <xdr:clientData/>
  </xdr:twoCellAnchor>
  <xdr:twoCellAnchor>
    <xdr:from>
      <xdr:col>4</xdr:col>
      <xdr:colOff>69850</xdr:colOff>
      <xdr:row>7</xdr:row>
      <xdr:rowOff>44450</xdr:rowOff>
    </xdr:from>
    <xdr:to>
      <xdr:col>7</xdr:col>
      <xdr:colOff>234950</xdr:colOff>
      <xdr:row>13</xdr:row>
      <xdr:rowOff>25400</xdr:rowOff>
    </xdr:to>
    <xdr:sp macro="" textlink="">
      <xdr:nvSpPr>
        <xdr:cNvPr id="20" name="Rectangle: Rounded Corners 19">
          <a:extLst>
            <a:ext uri="{FF2B5EF4-FFF2-40B4-BE49-F238E27FC236}">
              <a16:creationId xmlns:a16="http://schemas.microsoft.com/office/drawing/2014/main" id="{CFB879E0-0F43-4CEA-85F2-0B25CD89DEF8}"/>
            </a:ext>
          </a:extLst>
        </xdr:cNvPr>
        <xdr:cNvSpPr/>
      </xdr:nvSpPr>
      <xdr:spPr>
        <a:xfrm>
          <a:off x="2508250" y="1200150"/>
          <a:ext cx="1993900" cy="971550"/>
        </a:xfrm>
        <a:prstGeom prst="roundRect">
          <a:avLst/>
        </a:prstGeom>
        <a:solidFill>
          <a:srgbClr val="F68B1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baseline="0">
              <a:solidFill>
                <a:schemeClr val="lt1"/>
              </a:solidFill>
              <a:latin typeface="+mn-lt"/>
              <a:ea typeface="+mn-ea"/>
              <a:cs typeface="+mn-cs"/>
            </a:rPr>
            <a:t>TOTAL NO. OF PRODUCTS</a:t>
          </a:r>
        </a:p>
        <a:p>
          <a:pPr algn="l"/>
          <a:r>
            <a:rPr lang="en-US" sz="1400" b="1" i="0" u="none" strike="noStrike" baseline="0">
              <a:solidFill>
                <a:schemeClr val="lt1"/>
              </a:solidFill>
              <a:latin typeface="+mn-lt"/>
              <a:ea typeface="+mn-ea"/>
              <a:cs typeface="+mn-cs"/>
            </a:rPr>
            <a:t>                    </a:t>
          </a:r>
          <a:r>
            <a:rPr lang="en-US" sz="1800" b="1" i="0" u="none" strike="noStrike" baseline="0">
              <a:solidFill>
                <a:schemeClr val="tx1"/>
              </a:solidFill>
              <a:latin typeface="+mn-lt"/>
              <a:ea typeface="+mn-ea"/>
              <a:cs typeface="+mn-cs"/>
            </a:rPr>
            <a:t>108</a:t>
          </a:r>
        </a:p>
      </xdr:txBody>
    </xdr:sp>
    <xdr:clientData/>
  </xdr:twoCellAnchor>
  <xdr:twoCellAnchor>
    <xdr:from>
      <xdr:col>3</xdr:col>
      <xdr:colOff>476250</xdr:colOff>
      <xdr:row>16</xdr:row>
      <xdr:rowOff>6350</xdr:rowOff>
    </xdr:from>
    <xdr:to>
      <xdr:col>11</xdr:col>
      <xdr:colOff>158750</xdr:colOff>
      <xdr:row>32</xdr:row>
      <xdr:rowOff>107950</xdr:rowOff>
    </xdr:to>
    <xdr:graphicFrame macro="">
      <xdr:nvGraphicFramePr>
        <xdr:cNvPr id="21" name="Chart 20">
          <a:extLst>
            <a:ext uri="{FF2B5EF4-FFF2-40B4-BE49-F238E27FC236}">
              <a16:creationId xmlns:a16="http://schemas.microsoft.com/office/drawing/2014/main" id="{5115A99E-A5E4-43E3-B394-813B34E51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35</xdr:row>
      <xdr:rowOff>0</xdr:rowOff>
    </xdr:from>
    <xdr:to>
      <xdr:col>9</xdr:col>
      <xdr:colOff>269422</xdr:colOff>
      <xdr:row>47</xdr:row>
      <xdr:rowOff>91622</xdr:rowOff>
    </xdr:to>
    <xdr:graphicFrame macro="">
      <xdr:nvGraphicFramePr>
        <xdr:cNvPr id="23" name="Chart 22">
          <a:extLst>
            <a:ext uri="{FF2B5EF4-FFF2-40B4-BE49-F238E27FC236}">
              <a16:creationId xmlns:a16="http://schemas.microsoft.com/office/drawing/2014/main" id="{374F99E4-7A3D-4943-8812-1F0189571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36</xdr:row>
      <xdr:rowOff>0</xdr:rowOff>
    </xdr:from>
    <xdr:to>
      <xdr:col>18</xdr:col>
      <xdr:colOff>299811</xdr:colOff>
      <xdr:row>49</xdr:row>
      <xdr:rowOff>83911</xdr:rowOff>
    </xdr:to>
    <xdr:graphicFrame macro="">
      <xdr:nvGraphicFramePr>
        <xdr:cNvPr id="24" name="Chart 23">
          <a:extLst>
            <a:ext uri="{FF2B5EF4-FFF2-40B4-BE49-F238E27FC236}">
              <a16:creationId xmlns:a16="http://schemas.microsoft.com/office/drawing/2014/main" id="{DEDFFF00-9C69-4BF7-9A62-A36971375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494392</xdr:colOff>
      <xdr:row>15</xdr:row>
      <xdr:rowOff>71437</xdr:rowOff>
    </xdr:from>
    <xdr:to>
      <xdr:col>19</xdr:col>
      <xdr:colOff>204106</xdr:colOff>
      <xdr:row>32</xdr:row>
      <xdr:rowOff>35378</xdr:rowOff>
    </xdr:to>
    <xdr:graphicFrame macro="">
      <xdr:nvGraphicFramePr>
        <xdr:cNvPr id="25" name="Chart 24">
          <a:extLst>
            <a:ext uri="{FF2B5EF4-FFF2-40B4-BE49-F238E27FC236}">
              <a16:creationId xmlns:a16="http://schemas.microsoft.com/office/drawing/2014/main" id="{7C465D91-2BC7-4EF1-8F6A-E663CD981B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254000</xdr:colOff>
      <xdr:row>40</xdr:row>
      <xdr:rowOff>71438</xdr:rowOff>
    </xdr:from>
    <xdr:to>
      <xdr:col>3</xdr:col>
      <xdr:colOff>249237</xdr:colOff>
      <xdr:row>54</xdr:row>
      <xdr:rowOff>71435</xdr:rowOff>
    </xdr:to>
    <mc:AlternateContent xmlns:mc="http://schemas.openxmlformats.org/markup-compatibility/2006" xmlns:a14="http://schemas.microsoft.com/office/drawing/2010/main">
      <mc:Choice Requires="a14">
        <xdr:graphicFrame macro="">
          <xdr:nvGraphicFramePr>
            <xdr:cNvPr id="26" name="Current price">
              <a:extLst>
                <a:ext uri="{FF2B5EF4-FFF2-40B4-BE49-F238E27FC236}">
                  <a16:creationId xmlns:a16="http://schemas.microsoft.com/office/drawing/2014/main" id="{E4D2612E-F0B9-4ED0-A6EF-8569F14A9405}"/>
                </a:ext>
              </a:extLst>
            </xdr:cNvPr>
            <xdr:cNvGraphicFramePr/>
          </xdr:nvGraphicFramePr>
          <xdr:xfrm>
            <a:off x="0" y="0"/>
            <a:ext cx="0" cy="0"/>
          </xdr:xfrm>
          <a:graphic>
            <a:graphicData uri="http://schemas.microsoft.com/office/drawing/2010/slicer">
              <sle:slicer xmlns:sle="http://schemas.microsoft.com/office/drawing/2010/slicer" name="Current price"/>
            </a:graphicData>
          </a:graphic>
        </xdr:graphicFrame>
      </mc:Choice>
      <mc:Fallback xmlns="">
        <xdr:sp macro="" textlink="">
          <xdr:nvSpPr>
            <xdr:cNvPr id="0" name=""/>
            <xdr:cNvSpPr>
              <a:spLocks noTextEdit="1"/>
            </xdr:cNvSpPr>
          </xdr:nvSpPr>
          <xdr:spPr>
            <a:xfrm>
              <a:off x="254000" y="6738938"/>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4.641128240743" createdVersion="8" refreshedVersion="8" minRefreshableVersion="3" recordCount="108" xr:uid="{B1D4345D-BE9D-4232-99DB-77DA1D3694CA}">
  <cacheSource type="worksheet">
    <worksheetSource name="Table1"/>
  </cacheSource>
  <cacheFields count="9">
    <cacheField name="Product" numFmtId="0">
      <sharedItems count="108">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64">
      <sharedItems containsSemiMixedTypes="0" containsString="0" containsNumber="1" containsInteger="1" minValue="38" maxValue="3750" count="99">
        <n v="950"/>
        <n v="527"/>
        <n v="2199"/>
        <n v="1580"/>
        <n v="1740"/>
        <n v="2999"/>
        <n v="2319"/>
        <n v="988"/>
        <n v="1274"/>
        <n v="1600"/>
        <n v="799"/>
        <n v="990"/>
        <n v="552"/>
        <n v="501"/>
        <n v="1680"/>
        <n v="332"/>
        <n v="195"/>
        <n v="2025"/>
        <n v="998"/>
        <n v="38"/>
        <n v="1860"/>
        <n v="880"/>
        <n v="1650"/>
        <n v="2048"/>
        <n v="420"/>
        <n v="2880"/>
        <n v="1350"/>
        <n v="1758"/>
        <n v="2200"/>
        <n v="185"/>
        <n v="980"/>
        <n v="1820"/>
        <n v="1940"/>
        <n v="1980"/>
        <n v="1620"/>
        <n v="171"/>
        <n v="389"/>
        <n v="2750"/>
        <n v="475"/>
        <n v="238"/>
        <n v="610"/>
        <n v="2132"/>
        <n v="999"/>
        <n v="1190"/>
        <n v="671"/>
        <n v="1200"/>
        <n v="199"/>
        <n v="299"/>
        <n v="1660"/>
        <n v="1459"/>
        <n v="499"/>
        <n v="699"/>
        <n v="2799"/>
        <n v="2170"/>
        <n v="458"/>
        <n v="2115"/>
        <n v="445"/>
        <n v="325"/>
        <n v="1220"/>
        <n v="1000"/>
        <n v="3750"/>
        <n v="382"/>
        <n v="2300"/>
        <n v="345"/>
        <n v="509"/>
        <n v="968"/>
        <n v="1570"/>
        <n v="790"/>
        <n v="690"/>
        <n v="1732"/>
        <n v="230"/>
        <n v="1189"/>
        <n v="979"/>
        <n v="1460"/>
        <n v="1666"/>
        <n v="330"/>
        <n v="1466"/>
        <n v="274"/>
        <n v="1468"/>
        <n v="630"/>
        <n v="850"/>
        <n v="1300"/>
        <n v="105"/>
        <n v="899"/>
        <n v="1526"/>
        <n v="1462"/>
        <n v="248"/>
        <n v="3546"/>
        <n v="525"/>
        <n v="1080"/>
        <n v="3640"/>
        <n v="1420"/>
        <n v="1875"/>
        <n v="198"/>
        <n v="1150"/>
        <n v="1658"/>
        <n v="1768"/>
        <n v="450"/>
        <n v="169"/>
      </sharedItems>
      <fieldGroup base="1">
        <rangePr autoStart="0" autoEnd="0" startNum="1" endNum="4000" groupInterval="500"/>
        <groupItems count="10">
          <s v="&lt;1"/>
          <s v="1-500"/>
          <s v="501-1000"/>
          <s v="1001-1500"/>
          <s v="1501-2000"/>
          <s v="2001-2500"/>
          <s v="2501-3000"/>
          <s v="3001-3500"/>
          <s v="3501-4000"/>
          <s v="&gt;4001"/>
        </groupItems>
      </fieldGroup>
    </cacheField>
    <cacheField name="Old price" numFmtId="164">
      <sharedItems containsSemiMixedTypes="0" containsString="0" containsNumber="1" containsInteger="1" minValue="80" maxValue="6143"/>
    </cacheField>
    <cacheField name="Discount Amount" numFmtId="164">
      <sharedItems containsSemiMixedTypes="0" containsString="0" containsNumber="1" containsInteger="1" minValue="24" maxValue="2585" count="99">
        <n v="575"/>
        <n v="472"/>
        <n v="724"/>
        <n v="919"/>
        <n v="616"/>
        <n v="291"/>
        <n v="713"/>
        <n v="592"/>
        <n v="1526"/>
        <n v="1329"/>
        <n v="200"/>
        <n v="510"/>
        <n v="483"/>
        <n v="359"/>
        <n v="819"/>
        <n v="352"/>
        <n v="165"/>
        <n v="1946"/>
        <n v="700"/>
        <n v="968"/>
        <n v="42"/>
        <n v="1360"/>
        <n v="470"/>
        <n v="500"/>
        <n v="2452"/>
        <n v="227"/>
        <n v="640"/>
        <n v="741"/>
        <n v="1880"/>
        <n v="197"/>
        <n v="1670"/>
        <n v="710"/>
        <n v="719"/>
        <n v="1070"/>
        <n v="189"/>
        <n v="267"/>
        <n v="1721"/>
        <n v="456"/>
        <n v="238"/>
        <n v="450"/>
        <n v="37"/>
        <n v="1001"/>
        <n v="595"/>
        <n v="645"/>
        <n v="750"/>
        <n v="305"/>
        <n v="301"/>
        <n v="39"/>
        <n v="85"/>
        <n v="40"/>
        <n v="544"/>
        <n v="401"/>
        <n v="644"/>
        <n v="768"/>
        <n v="1011"/>
        <n v="330"/>
        <n v="528"/>
        <n v="2585"/>
        <n v="428"/>
        <n v="355"/>
        <n v="335"/>
        <n v="824"/>
        <n v="1000"/>
        <n v="2393"/>
        <n v="318"/>
        <n v="940"/>
        <n v="257"/>
        <n v="390"/>
        <n v="846"/>
        <n v="1418"/>
        <n v="695"/>
        <n v="67"/>
        <n v="220"/>
        <n v="1010"/>
        <n v="941"/>
        <n v="830"/>
        <n v="33"/>
        <n v="317"/>
        <n v="233"/>
        <n v="263"/>
        <n v="101"/>
        <n v="231"/>
        <n v="850"/>
        <n v="1200"/>
        <n v="95"/>
        <n v="800"/>
        <n v="134"/>
        <n v="153"/>
        <n v="504"/>
        <n v="794"/>
        <n v="948"/>
        <n v="24"/>
        <n v="62"/>
        <n v="587"/>
        <n v="620"/>
        <n v="41"/>
        <n v="31"/>
        <n v="354"/>
        <n v="151"/>
      </sharedItems>
      <fieldGroup base="3">
        <rangePr autoStart="0" startNum="1" endNum="2585" groupInterval="200"/>
        <groupItems count="15">
          <s v="&lt;1"/>
          <s v="1-200"/>
          <s v="201-400"/>
          <s v="401-600"/>
          <s v="601-800"/>
          <s v="801-1000"/>
          <s v="1001-1200"/>
          <s v="1201-1400"/>
          <s v="1401-1600"/>
          <s v="1601-1800"/>
          <s v="1801-2000"/>
          <s v="2001-2200"/>
          <s v="2201-2400"/>
          <s v="2401-2600"/>
          <s v="&gt;2601"/>
        </groupItems>
      </fieldGroup>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fieldGroup base="4">
        <rangePr autoStart="0" autoEnd="0" startNum="0.01" endNum="0.7" groupInterval="0.1"/>
        <groupItems count="9">
          <s v="&lt;0.01"/>
          <s v="0.01-0.11"/>
          <s v="0.11-0.21"/>
          <s v="0.21-0.31"/>
          <s v="0.31-0.41"/>
          <s v="0.41-0.51"/>
          <s v="0.51-0.61"/>
          <s v="0.61-0.71"/>
          <s v="&gt;0.71"/>
        </groupItems>
      </fieldGroup>
    </cacheField>
    <cacheField name="Discount Category" numFmtId="9">
      <sharedItems count="3">
        <s v="Medium Discount"/>
        <s v="High Discount"/>
        <s v="Low Discount"/>
      </sharedItems>
    </cacheField>
    <cacheField name="Review" numFmtId="1">
      <sharedItems containsMixedTypes="1" containsNumber="1" containsInteger="1" minValue="1" maxValue="69" count="24">
        <n v="2"/>
        <n v="14"/>
        <n v="24"/>
        <n v="7"/>
        <n v="5"/>
        <n v="15"/>
        <n v="55"/>
        <n v="12"/>
        <n v="39"/>
        <n v="6"/>
        <n v="9"/>
        <n v="3"/>
        <n v="44"/>
        <n v="13"/>
        <s v="N/A"/>
        <n v="49"/>
        <n v="20"/>
        <n v="32"/>
        <n v="1"/>
        <n v="36"/>
        <n v="10"/>
        <n v="69"/>
        <n v="16"/>
        <n v="17"/>
      </sharedItems>
    </cacheField>
    <cacheField name="Rating Category" numFmtId="1">
      <sharedItems count="4">
        <s v="Excellent"/>
        <s v="Average"/>
        <s v="N/A"/>
        <s v="Poor"/>
      </sharedItems>
    </cacheField>
    <cacheField name="Ratings" numFmtId="165">
      <sharedItems containsMixedTypes="1" containsNumber="1" minValue="2" maxValue="5" count="23">
        <n v="4.5"/>
        <n v="4.0999999999999996"/>
        <n v="4.5999999999999996"/>
        <n v="4.7"/>
        <n v="4.8"/>
        <n v="4"/>
        <n v="3.8"/>
        <n v="4.2"/>
        <n v="5"/>
        <n v="3.3"/>
        <s v="N/A"/>
        <n v="4.4000000000000004"/>
        <n v="4.3"/>
        <n v="2.5"/>
        <n v="3"/>
        <n v="2.1"/>
        <n v="2.8"/>
        <n v="2.7"/>
        <n v="2.9"/>
        <n v="2.2000000000000002"/>
        <n v="2.2999999999999998"/>
        <n v="2.6"/>
        <n v="2"/>
      </sharedItems>
    </cacheField>
  </cacheFields>
  <extLst>
    <ext xmlns:x14="http://schemas.microsoft.com/office/spreadsheetml/2009/9/main" uri="{725AE2AE-9491-48be-B2B4-4EB974FC3084}">
      <x14:pivotCacheDefinition pivotCacheId="4258803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x v="0"/>
    <n v="1525"/>
    <x v="0"/>
    <x v="0"/>
    <x v="0"/>
    <x v="0"/>
    <x v="0"/>
    <x v="0"/>
  </r>
  <r>
    <x v="1"/>
    <x v="1"/>
    <n v="999"/>
    <x v="1"/>
    <x v="1"/>
    <x v="1"/>
    <x v="1"/>
    <x v="1"/>
    <x v="1"/>
  </r>
  <r>
    <x v="2"/>
    <x v="2"/>
    <n v="2923"/>
    <x v="2"/>
    <x v="2"/>
    <x v="0"/>
    <x v="2"/>
    <x v="0"/>
    <x v="2"/>
  </r>
  <r>
    <x v="3"/>
    <x v="3"/>
    <n v="2499"/>
    <x v="3"/>
    <x v="3"/>
    <x v="0"/>
    <x v="3"/>
    <x v="0"/>
    <x v="3"/>
  </r>
  <r>
    <x v="4"/>
    <x v="4"/>
    <n v="2356"/>
    <x v="4"/>
    <x v="4"/>
    <x v="0"/>
    <x v="4"/>
    <x v="0"/>
    <x v="4"/>
  </r>
  <r>
    <x v="5"/>
    <x v="5"/>
    <n v="3290"/>
    <x v="5"/>
    <x v="5"/>
    <x v="2"/>
    <x v="5"/>
    <x v="1"/>
    <x v="5"/>
  </r>
  <r>
    <x v="6"/>
    <x v="6"/>
    <n v="3032"/>
    <x v="6"/>
    <x v="6"/>
    <x v="0"/>
    <x v="6"/>
    <x v="0"/>
    <x v="2"/>
  </r>
  <r>
    <x v="7"/>
    <x v="7"/>
    <n v="1580"/>
    <x v="7"/>
    <x v="3"/>
    <x v="0"/>
    <x v="0"/>
    <x v="1"/>
    <x v="5"/>
  </r>
  <r>
    <x v="8"/>
    <x v="8"/>
    <n v="2800"/>
    <x v="8"/>
    <x v="7"/>
    <x v="1"/>
    <x v="4"/>
    <x v="0"/>
    <x v="4"/>
  </r>
  <r>
    <x v="9"/>
    <x v="9"/>
    <n v="2929"/>
    <x v="9"/>
    <x v="8"/>
    <x v="1"/>
    <x v="4"/>
    <x v="1"/>
    <x v="6"/>
  </r>
  <r>
    <x v="10"/>
    <x v="10"/>
    <n v="999"/>
    <x v="10"/>
    <x v="9"/>
    <x v="0"/>
    <x v="7"/>
    <x v="1"/>
    <x v="1"/>
  </r>
  <r>
    <x v="11"/>
    <x v="11"/>
    <n v="1500"/>
    <x v="11"/>
    <x v="10"/>
    <x v="0"/>
    <x v="8"/>
    <x v="0"/>
    <x v="3"/>
  </r>
  <r>
    <x v="12"/>
    <x v="12"/>
    <n v="1035"/>
    <x v="12"/>
    <x v="1"/>
    <x v="1"/>
    <x v="7"/>
    <x v="0"/>
    <x v="4"/>
  </r>
  <r>
    <x v="13"/>
    <x v="13"/>
    <n v="860"/>
    <x v="13"/>
    <x v="11"/>
    <x v="1"/>
    <x v="9"/>
    <x v="0"/>
    <x v="0"/>
  </r>
  <r>
    <x v="14"/>
    <x v="14"/>
    <n v="2499"/>
    <x v="14"/>
    <x v="12"/>
    <x v="0"/>
    <x v="10"/>
    <x v="1"/>
    <x v="7"/>
  </r>
  <r>
    <x v="15"/>
    <x v="15"/>
    <n v="684"/>
    <x v="15"/>
    <x v="13"/>
    <x v="1"/>
    <x v="0"/>
    <x v="0"/>
    <x v="8"/>
  </r>
  <r>
    <x v="16"/>
    <x v="16"/>
    <n v="360"/>
    <x v="16"/>
    <x v="14"/>
    <x v="1"/>
    <x v="0"/>
    <x v="0"/>
    <x v="8"/>
  </r>
  <r>
    <x v="17"/>
    <x v="17"/>
    <n v="3971"/>
    <x v="17"/>
    <x v="15"/>
    <x v="1"/>
    <x v="11"/>
    <x v="0"/>
    <x v="8"/>
  </r>
  <r>
    <x v="18"/>
    <x v="5"/>
    <n v="3699"/>
    <x v="18"/>
    <x v="16"/>
    <x v="2"/>
    <x v="4"/>
    <x v="0"/>
    <x v="2"/>
  </r>
  <r>
    <x v="19"/>
    <x v="18"/>
    <n v="1966"/>
    <x v="19"/>
    <x v="15"/>
    <x v="1"/>
    <x v="12"/>
    <x v="0"/>
    <x v="2"/>
  </r>
  <r>
    <x v="20"/>
    <x v="19"/>
    <n v="80"/>
    <x v="20"/>
    <x v="17"/>
    <x v="1"/>
    <x v="13"/>
    <x v="1"/>
    <x v="9"/>
  </r>
  <r>
    <x v="21"/>
    <x v="20"/>
    <n v="3220"/>
    <x v="21"/>
    <x v="11"/>
    <x v="1"/>
    <x v="14"/>
    <x v="2"/>
    <x v="10"/>
  </r>
  <r>
    <x v="22"/>
    <x v="21"/>
    <n v="1350"/>
    <x v="22"/>
    <x v="18"/>
    <x v="0"/>
    <x v="9"/>
    <x v="1"/>
    <x v="5"/>
  </r>
  <r>
    <x v="23"/>
    <x v="22"/>
    <n v="2150"/>
    <x v="23"/>
    <x v="19"/>
    <x v="0"/>
    <x v="1"/>
    <x v="1"/>
    <x v="11"/>
  </r>
  <r>
    <x v="24"/>
    <x v="23"/>
    <n v="4500"/>
    <x v="24"/>
    <x v="20"/>
    <x v="1"/>
    <x v="3"/>
    <x v="1"/>
    <x v="12"/>
  </r>
  <r>
    <x v="25"/>
    <x v="24"/>
    <n v="647"/>
    <x v="25"/>
    <x v="18"/>
    <x v="0"/>
    <x v="15"/>
    <x v="0"/>
    <x v="2"/>
  </r>
  <r>
    <x v="26"/>
    <x v="25"/>
    <n v="3520"/>
    <x v="26"/>
    <x v="21"/>
    <x v="2"/>
    <x v="7"/>
    <x v="1"/>
    <x v="6"/>
  </r>
  <r>
    <x v="27"/>
    <x v="26"/>
    <n v="1990"/>
    <x v="26"/>
    <x v="22"/>
    <x v="0"/>
    <x v="13"/>
    <x v="1"/>
    <x v="6"/>
  </r>
  <r>
    <x v="28"/>
    <x v="27"/>
    <n v="2499"/>
    <x v="27"/>
    <x v="23"/>
    <x v="0"/>
    <x v="16"/>
    <x v="1"/>
    <x v="1"/>
  </r>
  <r>
    <x v="29"/>
    <x v="28"/>
    <n v="4080"/>
    <x v="28"/>
    <x v="14"/>
    <x v="1"/>
    <x v="14"/>
    <x v="2"/>
    <x v="10"/>
  </r>
  <r>
    <x v="30"/>
    <x v="29"/>
    <n v="382"/>
    <x v="29"/>
    <x v="24"/>
    <x v="1"/>
    <x v="10"/>
    <x v="1"/>
    <x v="12"/>
  </r>
  <r>
    <x v="31"/>
    <x v="30"/>
    <n v="1490"/>
    <x v="11"/>
    <x v="10"/>
    <x v="0"/>
    <x v="7"/>
    <x v="0"/>
    <x v="3"/>
  </r>
  <r>
    <x v="32"/>
    <x v="31"/>
    <n v="3490"/>
    <x v="30"/>
    <x v="25"/>
    <x v="1"/>
    <x v="10"/>
    <x v="1"/>
    <x v="12"/>
  </r>
  <r>
    <x v="33"/>
    <x v="32"/>
    <n v="2650"/>
    <x v="31"/>
    <x v="26"/>
    <x v="0"/>
    <x v="16"/>
    <x v="0"/>
    <x v="3"/>
  </r>
  <r>
    <x v="34"/>
    <x v="33"/>
    <n v="2699"/>
    <x v="32"/>
    <x v="26"/>
    <x v="0"/>
    <x v="17"/>
    <x v="0"/>
    <x v="0"/>
  </r>
  <r>
    <x v="35"/>
    <x v="34"/>
    <n v="2690"/>
    <x v="33"/>
    <x v="27"/>
    <x v="0"/>
    <x v="18"/>
    <x v="0"/>
    <x v="8"/>
  </r>
  <r>
    <x v="36"/>
    <x v="35"/>
    <n v="360"/>
    <x v="34"/>
    <x v="17"/>
    <x v="1"/>
    <x v="0"/>
    <x v="0"/>
    <x v="8"/>
  </r>
  <r>
    <x v="37"/>
    <x v="36"/>
    <n v="656"/>
    <x v="35"/>
    <x v="28"/>
    <x v="1"/>
    <x v="19"/>
    <x v="1"/>
    <x v="12"/>
  </r>
  <r>
    <x v="38"/>
    <x v="37"/>
    <n v="4471"/>
    <x v="36"/>
    <x v="0"/>
    <x v="0"/>
    <x v="14"/>
    <x v="2"/>
    <x v="10"/>
  </r>
  <r>
    <x v="39"/>
    <x v="38"/>
    <n v="931"/>
    <x v="37"/>
    <x v="15"/>
    <x v="1"/>
    <x v="14"/>
    <x v="2"/>
    <x v="10"/>
  </r>
  <r>
    <x v="40"/>
    <x v="39"/>
    <n v="476"/>
    <x v="38"/>
    <x v="29"/>
    <x v="1"/>
    <x v="14"/>
    <x v="2"/>
    <x v="10"/>
  </r>
  <r>
    <x v="41"/>
    <x v="40"/>
    <n v="1060"/>
    <x v="39"/>
    <x v="11"/>
    <x v="1"/>
    <x v="14"/>
    <x v="2"/>
    <x v="10"/>
  </r>
  <r>
    <x v="42"/>
    <x v="41"/>
    <n v="2169"/>
    <x v="40"/>
    <x v="30"/>
    <x v="2"/>
    <x v="14"/>
    <x v="2"/>
    <x v="10"/>
  </r>
  <r>
    <x v="43"/>
    <x v="42"/>
    <n v="2000"/>
    <x v="41"/>
    <x v="29"/>
    <x v="1"/>
    <x v="14"/>
    <x v="2"/>
    <x v="10"/>
  </r>
  <r>
    <x v="44"/>
    <x v="43"/>
    <n v="1785"/>
    <x v="42"/>
    <x v="12"/>
    <x v="0"/>
    <x v="14"/>
    <x v="2"/>
    <x v="10"/>
  </r>
  <r>
    <x v="45"/>
    <x v="44"/>
    <n v="1316"/>
    <x v="43"/>
    <x v="15"/>
    <x v="1"/>
    <x v="14"/>
    <x v="2"/>
    <x v="10"/>
  </r>
  <r>
    <x v="46"/>
    <x v="45"/>
    <n v="1950"/>
    <x v="44"/>
    <x v="0"/>
    <x v="0"/>
    <x v="14"/>
    <x v="2"/>
    <x v="10"/>
  </r>
  <r>
    <x v="47"/>
    <x v="46"/>
    <n v="504"/>
    <x v="45"/>
    <x v="31"/>
    <x v="1"/>
    <x v="14"/>
    <x v="2"/>
    <x v="10"/>
  </r>
  <r>
    <x v="48"/>
    <x v="47"/>
    <n v="600"/>
    <x v="46"/>
    <x v="29"/>
    <x v="1"/>
    <x v="14"/>
    <x v="2"/>
    <x v="10"/>
  </r>
  <r>
    <x v="49"/>
    <x v="48"/>
    <n v="1699"/>
    <x v="47"/>
    <x v="30"/>
    <x v="2"/>
    <x v="14"/>
    <x v="2"/>
    <x v="10"/>
  </r>
  <r>
    <x v="50"/>
    <x v="47"/>
    <n v="384"/>
    <x v="48"/>
    <x v="32"/>
    <x v="0"/>
    <x v="14"/>
    <x v="2"/>
    <x v="10"/>
  </r>
  <r>
    <x v="51"/>
    <x v="49"/>
    <n v="1499"/>
    <x v="49"/>
    <x v="33"/>
    <x v="2"/>
    <x v="14"/>
    <x v="2"/>
    <x v="10"/>
  </r>
  <r>
    <x v="52"/>
    <x v="10"/>
    <n v="1343"/>
    <x v="50"/>
    <x v="28"/>
    <x v="1"/>
    <x v="14"/>
    <x v="2"/>
    <x v="10"/>
  </r>
  <r>
    <x v="53"/>
    <x v="50"/>
    <n v="900"/>
    <x v="51"/>
    <x v="8"/>
    <x v="1"/>
    <x v="14"/>
    <x v="2"/>
    <x v="10"/>
  </r>
  <r>
    <x v="54"/>
    <x v="51"/>
    <n v="1343"/>
    <x v="52"/>
    <x v="25"/>
    <x v="1"/>
    <x v="14"/>
    <x v="2"/>
    <x v="10"/>
  </r>
  <r>
    <x v="55"/>
    <x v="10"/>
    <n v="1567"/>
    <x v="53"/>
    <x v="15"/>
    <x v="1"/>
    <x v="14"/>
    <x v="2"/>
    <x v="10"/>
  </r>
  <r>
    <x v="56"/>
    <x v="52"/>
    <n v="3810"/>
    <x v="54"/>
    <x v="26"/>
    <x v="0"/>
    <x v="14"/>
    <x v="2"/>
    <x v="10"/>
  </r>
  <r>
    <x v="57"/>
    <x v="53"/>
    <n v="2500"/>
    <x v="55"/>
    <x v="34"/>
    <x v="2"/>
    <x v="9"/>
    <x v="3"/>
    <x v="13"/>
  </r>
  <r>
    <x v="58"/>
    <x v="54"/>
    <n v="986"/>
    <x v="56"/>
    <x v="20"/>
    <x v="1"/>
    <x v="20"/>
    <x v="1"/>
    <x v="14"/>
  </r>
  <r>
    <x v="59"/>
    <x v="55"/>
    <n v="4700"/>
    <x v="57"/>
    <x v="7"/>
    <x v="1"/>
    <x v="13"/>
    <x v="3"/>
    <x v="15"/>
  </r>
  <r>
    <x v="60"/>
    <x v="56"/>
    <n v="873"/>
    <x v="58"/>
    <x v="15"/>
    <x v="1"/>
    <x v="21"/>
    <x v="3"/>
    <x v="16"/>
  </r>
  <r>
    <x v="61"/>
    <x v="57"/>
    <n v="680"/>
    <x v="59"/>
    <x v="24"/>
    <x v="1"/>
    <x v="5"/>
    <x v="3"/>
    <x v="17"/>
  </r>
  <r>
    <x v="62"/>
    <x v="58"/>
    <n v="1555"/>
    <x v="60"/>
    <x v="32"/>
    <x v="0"/>
    <x v="22"/>
    <x v="3"/>
    <x v="18"/>
  </r>
  <r>
    <x v="63"/>
    <x v="11"/>
    <n v="1814"/>
    <x v="61"/>
    <x v="8"/>
    <x v="1"/>
    <x v="9"/>
    <x v="3"/>
    <x v="19"/>
  </r>
  <r>
    <x v="64"/>
    <x v="59"/>
    <n v="2000"/>
    <x v="62"/>
    <x v="29"/>
    <x v="1"/>
    <x v="3"/>
    <x v="3"/>
    <x v="20"/>
  </r>
  <r>
    <x v="65"/>
    <x v="60"/>
    <n v="6143"/>
    <x v="63"/>
    <x v="35"/>
    <x v="0"/>
    <x v="4"/>
    <x v="1"/>
    <x v="14"/>
  </r>
  <r>
    <x v="66"/>
    <x v="61"/>
    <n v="700"/>
    <x v="64"/>
    <x v="8"/>
    <x v="1"/>
    <x v="23"/>
    <x v="3"/>
    <x v="21"/>
  </r>
  <r>
    <x v="67"/>
    <x v="62"/>
    <n v="3240"/>
    <x v="65"/>
    <x v="36"/>
    <x v="0"/>
    <x v="4"/>
    <x v="1"/>
    <x v="14"/>
  </r>
  <r>
    <x v="68"/>
    <x v="63"/>
    <n v="602"/>
    <x v="66"/>
    <x v="37"/>
    <x v="1"/>
    <x v="9"/>
    <x v="3"/>
    <x v="20"/>
  </r>
  <r>
    <x v="69"/>
    <x v="64"/>
    <n v="899"/>
    <x v="67"/>
    <x v="37"/>
    <x v="1"/>
    <x v="4"/>
    <x v="1"/>
    <x v="14"/>
  </r>
  <r>
    <x v="70"/>
    <x v="65"/>
    <n v="1814"/>
    <x v="68"/>
    <x v="1"/>
    <x v="1"/>
    <x v="9"/>
    <x v="3"/>
    <x v="19"/>
  </r>
  <r>
    <x v="71"/>
    <x v="66"/>
    <n v="2988"/>
    <x v="69"/>
    <x v="1"/>
    <x v="1"/>
    <x v="3"/>
    <x v="3"/>
    <x v="15"/>
  </r>
  <r>
    <x v="72"/>
    <x v="67"/>
    <n v="1485"/>
    <x v="70"/>
    <x v="1"/>
    <x v="1"/>
    <x v="14"/>
    <x v="2"/>
    <x v="10"/>
  </r>
  <r>
    <x v="73"/>
    <x v="68"/>
    <n v="1200"/>
    <x v="11"/>
    <x v="37"/>
    <x v="1"/>
    <x v="14"/>
    <x v="2"/>
    <x v="10"/>
  </r>
  <r>
    <x v="74"/>
    <x v="69"/>
    <n v="1799"/>
    <x v="71"/>
    <x v="38"/>
    <x v="2"/>
    <x v="14"/>
    <x v="2"/>
    <x v="10"/>
  </r>
  <r>
    <x v="75"/>
    <x v="70"/>
    <n v="450"/>
    <x v="72"/>
    <x v="15"/>
    <x v="1"/>
    <x v="14"/>
    <x v="2"/>
    <x v="10"/>
  </r>
  <r>
    <x v="76"/>
    <x v="71"/>
    <n v="2199"/>
    <x v="73"/>
    <x v="14"/>
    <x v="1"/>
    <x v="18"/>
    <x v="1"/>
    <x v="14"/>
  </r>
  <r>
    <x v="77"/>
    <x v="72"/>
    <n v="1920"/>
    <x v="74"/>
    <x v="15"/>
    <x v="1"/>
    <x v="18"/>
    <x v="0"/>
    <x v="8"/>
  </r>
  <r>
    <x v="78"/>
    <x v="73"/>
    <n v="2290"/>
    <x v="75"/>
    <x v="39"/>
    <x v="0"/>
    <x v="14"/>
    <x v="2"/>
    <x v="10"/>
  </r>
  <r>
    <x v="79"/>
    <x v="74"/>
    <n v="1699"/>
    <x v="76"/>
    <x v="30"/>
    <x v="2"/>
    <x v="14"/>
    <x v="2"/>
    <x v="10"/>
  </r>
  <r>
    <x v="80"/>
    <x v="75"/>
    <n v="647"/>
    <x v="77"/>
    <x v="15"/>
    <x v="1"/>
    <x v="18"/>
    <x v="1"/>
    <x v="5"/>
  </r>
  <r>
    <x v="81"/>
    <x v="76"/>
    <n v="1699"/>
    <x v="78"/>
    <x v="40"/>
    <x v="2"/>
    <x v="14"/>
    <x v="2"/>
    <x v="10"/>
  </r>
  <r>
    <x v="82"/>
    <x v="77"/>
    <n v="537"/>
    <x v="79"/>
    <x v="15"/>
    <x v="1"/>
    <x v="14"/>
    <x v="2"/>
    <x v="10"/>
  </r>
  <r>
    <x v="83"/>
    <x v="10"/>
    <n v="900"/>
    <x v="80"/>
    <x v="41"/>
    <x v="2"/>
    <x v="14"/>
    <x v="2"/>
    <x v="10"/>
  </r>
  <r>
    <x v="84"/>
    <x v="78"/>
    <n v="1699"/>
    <x v="81"/>
    <x v="40"/>
    <x v="2"/>
    <x v="14"/>
    <x v="2"/>
    <x v="10"/>
  </r>
  <r>
    <x v="85"/>
    <x v="79"/>
    <n v="1100"/>
    <x v="22"/>
    <x v="37"/>
    <x v="1"/>
    <x v="14"/>
    <x v="2"/>
    <x v="10"/>
  </r>
  <r>
    <x v="86"/>
    <x v="80"/>
    <n v="1700"/>
    <x v="82"/>
    <x v="29"/>
    <x v="1"/>
    <x v="14"/>
    <x v="2"/>
    <x v="10"/>
  </r>
  <r>
    <x v="87"/>
    <x v="81"/>
    <n v="2500"/>
    <x v="83"/>
    <x v="25"/>
    <x v="1"/>
    <x v="14"/>
    <x v="2"/>
    <x v="10"/>
  </r>
  <r>
    <x v="88"/>
    <x v="82"/>
    <n v="200"/>
    <x v="84"/>
    <x v="25"/>
    <x v="1"/>
    <x v="14"/>
    <x v="2"/>
    <x v="10"/>
  </r>
  <r>
    <x v="89"/>
    <x v="83"/>
    <n v="1699"/>
    <x v="85"/>
    <x v="1"/>
    <x v="1"/>
    <x v="14"/>
    <x v="2"/>
    <x v="10"/>
  </r>
  <r>
    <x v="90"/>
    <x v="45"/>
    <n v="2400"/>
    <x v="83"/>
    <x v="29"/>
    <x v="1"/>
    <x v="14"/>
    <x v="2"/>
    <x v="10"/>
  </r>
  <r>
    <x v="91"/>
    <x v="84"/>
    <n v="1660"/>
    <x v="86"/>
    <x v="42"/>
    <x v="2"/>
    <x v="14"/>
    <x v="2"/>
    <x v="10"/>
  </r>
  <r>
    <x v="92"/>
    <x v="85"/>
    <n v="1499"/>
    <x v="40"/>
    <x v="30"/>
    <x v="2"/>
    <x v="14"/>
    <x v="2"/>
    <x v="10"/>
  </r>
  <r>
    <x v="93"/>
    <x v="86"/>
    <n v="486"/>
    <x v="38"/>
    <x v="15"/>
    <x v="1"/>
    <x v="14"/>
    <x v="2"/>
    <x v="10"/>
  </r>
  <r>
    <x v="94"/>
    <x v="87"/>
    <n v="3699"/>
    <x v="87"/>
    <x v="38"/>
    <x v="2"/>
    <x v="14"/>
    <x v="2"/>
    <x v="10"/>
  </r>
  <r>
    <x v="95"/>
    <x v="88"/>
    <n v="1029"/>
    <x v="88"/>
    <x v="15"/>
    <x v="1"/>
    <x v="14"/>
    <x v="2"/>
    <x v="10"/>
  </r>
  <r>
    <x v="96"/>
    <x v="89"/>
    <n v="1874"/>
    <x v="89"/>
    <x v="11"/>
    <x v="1"/>
    <x v="14"/>
    <x v="2"/>
    <x v="10"/>
  </r>
  <r>
    <x v="97"/>
    <x v="90"/>
    <n v="4588"/>
    <x v="90"/>
    <x v="43"/>
    <x v="0"/>
    <x v="18"/>
    <x v="0"/>
    <x v="8"/>
  </r>
  <r>
    <x v="98"/>
    <x v="91"/>
    <n v="2420"/>
    <x v="62"/>
    <x v="28"/>
    <x v="1"/>
    <x v="14"/>
    <x v="2"/>
    <x v="10"/>
  </r>
  <r>
    <x v="99"/>
    <x v="92"/>
    <n v="1899"/>
    <x v="91"/>
    <x v="44"/>
    <x v="2"/>
    <x v="14"/>
    <x v="2"/>
    <x v="10"/>
  </r>
  <r>
    <x v="100"/>
    <x v="93"/>
    <n v="260"/>
    <x v="92"/>
    <x v="6"/>
    <x v="0"/>
    <x v="14"/>
    <x v="2"/>
    <x v="10"/>
  </r>
  <r>
    <x v="101"/>
    <x v="94"/>
    <n v="1737"/>
    <x v="93"/>
    <x v="10"/>
    <x v="0"/>
    <x v="14"/>
    <x v="2"/>
    <x v="10"/>
  </r>
  <r>
    <x v="102"/>
    <x v="43"/>
    <n v="1810"/>
    <x v="94"/>
    <x v="10"/>
    <x v="0"/>
    <x v="14"/>
    <x v="2"/>
    <x v="10"/>
  </r>
  <r>
    <x v="103"/>
    <x v="95"/>
    <n v="1699"/>
    <x v="95"/>
    <x v="30"/>
    <x v="2"/>
    <x v="14"/>
    <x v="2"/>
    <x v="10"/>
  </r>
  <r>
    <x v="104"/>
    <x v="96"/>
    <n v="1799"/>
    <x v="96"/>
    <x v="30"/>
    <x v="2"/>
    <x v="14"/>
    <x v="2"/>
    <x v="10"/>
  </r>
  <r>
    <x v="105"/>
    <x v="46"/>
    <n v="553"/>
    <x v="97"/>
    <x v="45"/>
    <x v="1"/>
    <x v="14"/>
    <x v="2"/>
    <x v="10"/>
  </r>
  <r>
    <x v="106"/>
    <x v="97"/>
    <n v="900"/>
    <x v="39"/>
    <x v="29"/>
    <x v="1"/>
    <x v="18"/>
    <x v="3"/>
    <x v="22"/>
  </r>
  <r>
    <x v="107"/>
    <x v="98"/>
    <n v="320"/>
    <x v="98"/>
    <x v="1"/>
    <x v="1"/>
    <x v="14"/>
    <x v="2"/>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932BC3-0D3A-436B-AFAD-22D3F6210F6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ating Category">
  <location ref="J3:K8" firstHeaderRow="1" firstDataRow="1" firstDataCol="1"/>
  <pivotFields count="9">
    <pivotField dataField="1" showAll="0">
      <items count="109">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x="107"/>
        <item x="48"/>
        <item x="45"/>
        <item x="82"/>
        <item x="102"/>
        <item x="43"/>
        <item x="54"/>
        <item x="36"/>
        <item x="47"/>
        <item x="74"/>
        <item x="52"/>
        <item x="7"/>
        <item x="35"/>
        <item x="71"/>
        <item x="25"/>
        <item x="30"/>
        <item x="23"/>
        <item x="10"/>
        <item x="80"/>
        <item x="61"/>
        <item x="97"/>
        <item x="67"/>
        <item x="24"/>
        <item x="17"/>
        <item x="13"/>
        <item x="8"/>
        <item x="38"/>
        <item x="32"/>
        <item x="22"/>
        <item x="101"/>
        <item x="18"/>
        <item x="76"/>
        <item x="1"/>
        <item x="94"/>
        <item x="40"/>
        <item x="14"/>
        <item x="85"/>
        <item x="29"/>
        <item x="51"/>
        <item x="58"/>
        <item x="81"/>
        <item x="83"/>
        <item x="16"/>
        <item x="49"/>
        <item x="50"/>
        <item x="4"/>
        <item x="2"/>
        <item x="92"/>
        <item x="26"/>
        <item x="87"/>
        <item x="37"/>
        <item x="88"/>
        <item x="42"/>
        <item x="103"/>
        <item x="53"/>
        <item x="104"/>
        <item x="62"/>
        <item x="86"/>
        <item x="91"/>
        <item x="106"/>
        <item x="84"/>
        <item x="68"/>
        <item x="3"/>
        <item x="69"/>
        <item t="default"/>
      </items>
    </pivotField>
    <pivotField numFmtId="164" showAll="0">
      <items count="11">
        <item x="0"/>
        <item x="1"/>
        <item x="2"/>
        <item x="3"/>
        <item x="4"/>
        <item x="5"/>
        <item x="6"/>
        <item x="7"/>
        <item x="8"/>
        <item x="9"/>
        <item t="default"/>
      </items>
    </pivotField>
    <pivotField numFmtId="164" showAll="0"/>
    <pivotField numFmtId="164" showAll="0">
      <items count="16">
        <item x="0"/>
        <item x="1"/>
        <item x="2"/>
        <item x="3"/>
        <item x="4"/>
        <item x="5"/>
        <item x="6"/>
        <item x="7"/>
        <item x="8"/>
        <item x="9"/>
        <item x="10"/>
        <item x="11"/>
        <item x="12"/>
        <item x="13"/>
        <item x="14"/>
        <item t="default"/>
      </items>
    </pivotField>
    <pivotField numFmtId="9" showAll="0">
      <items count="10">
        <item x="0"/>
        <item x="1"/>
        <item x="2"/>
        <item x="3"/>
        <item x="4"/>
        <item x="5"/>
        <item x="6"/>
        <item x="7"/>
        <item x="8"/>
        <item t="default"/>
      </items>
    </pivotField>
    <pivotField showAll="0">
      <items count="4">
        <item x="1"/>
        <item x="2"/>
        <item x="0"/>
        <item t="default"/>
      </items>
    </pivotField>
    <pivotField showAll="0"/>
    <pivotField axis="axisRow" showAll="0">
      <items count="5">
        <item x="1"/>
        <item x="0"/>
        <item x="2"/>
        <item x="3"/>
        <item t="default"/>
      </items>
    </pivotField>
    <pivotField showAll="0"/>
  </pivotFields>
  <rowFields count="1">
    <field x="7"/>
  </rowFields>
  <rowItems count="5">
    <i>
      <x/>
    </i>
    <i>
      <x v="1"/>
    </i>
    <i>
      <x v="2"/>
    </i>
    <i>
      <x v="3"/>
    </i>
    <i t="grand">
      <x/>
    </i>
  </rowItems>
  <colItems count="1">
    <i/>
  </colItems>
  <dataFields count="1">
    <dataField name="Count of Product"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7" count="1" selected="0">
            <x v="0"/>
          </reference>
        </references>
      </pivotArea>
    </chartFormat>
    <chartFormat chart="3" format="12">
      <pivotArea type="data" outline="0" fieldPosition="0">
        <references count="2">
          <reference field="4294967294" count="1" selected="0">
            <x v="0"/>
          </reference>
          <reference field="7" count="1" selected="0">
            <x v="1"/>
          </reference>
        </references>
      </pivotArea>
    </chartFormat>
    <chartFormat chart="3" format="13">
      <pivotArea type="data" outline="0" fieldPosition="0">
        <references count="2">
          <reference field="4294967294" count="1" selected="0">
            <x v="0"/>
          </reference>
          <reference field="7" count="1" selected="0">
            <x v="2"/>
          </reference>
        </references>
      </pivotArea>
    </chartFormat>
    <chartFormat chart="3"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9FF0D4-1112-4FAE-A233-685B7D1EA70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AMOUNT">
  <location ref="R11:S24" firstHeaderRow="1" firstDataRow="1" firstDataCol="1"/>
  <pivotFields count="9">
    <pivotField showAll="0"/>
    <pivotField numFmtId="164" showAll="0">
      <items count="11">
        <item x="0"/>
        <item x="1"/>
        <item x="2"/>
        <item x="3"/>
        <item x="4"/>
        <item x="5"/>
        <item x="6"/>
        <item x="7"/>
        <item x="8"/>
        <item x="9"/>
        <item t="default"/>
      </items>
    </pivotField>
    <pivotField numFmtId="164" showAll="0"/>
    <pivotField axis="axisRow" numFmtId="164" showAll="0" sortType="descending">
      <items count="16">
        <item x="0"/>
        <item x="1"/>
        <item x="2"/>
        <item x="3"/>
        <item x="4"/>
        <item x="5"/>
        <item x="6"/>
        <item x="7"/>
        <item x="8"/>
        <item x="9"/>
        <item x="10"/>
        <item x="11"/>
        <item x="12"/>
        <item x="13"/>
        <item x="14"/>
        <item t="default"/>
      </items>
      <autoSortScope>
        <pivotArea dataOnly="0" outline="0" fieldPosition="0">
          <references count="1">
            <reference field="4294967294" count="1" selected="0">
              <x v="0"/>
            </reference>
          </references>
        </pivotArea>
      </autoSortScope>
    </pivotField>
    <pivotField numFmtId="9" showAll="0">
      <items count="10">
        <item x="0"/>
        <item x="1"/>
        <item x="2"/>
        <item x="3"/>
        <item x="4"/>
        <item x="5"/>
        <item x="6"/>
        <item x="7"/>
        <item x="8"/>
        <item t="default"/>
      </items>
    </pivotField>
    <pivotField showAll="0"/>
    <pivotField dataField="1" showAll="0"/>
    <pivotField showAll="0">
      <items count="5">
        <item x="1"/>
        <item x="0"/>
        <item x="2"/>
        <item x="3"/>
        <item t="default"/>
      </items>
    </pivotField>
    <pivotField showAll="0"/>
  </pivotFields>
  <rowFields count="1">
    <field x="3"/>
  </rowFields>
  <rowItems count="13">
    <i>
      <x v="3"/>
    </i>
    <i>
      <x v="4"/>
    </i>
    <i>
      <x v="2"/>
    </i>
    <i>
      <x v="5"/>
    </i>
    <i>
      <x v="13"/>
    </i>
    <i>
      <x v="1"/>
    </i>
    <i>
      <x v="9"/>
    </i>
    <i>
      <x v="8"/>
    </i>
    <i>
      <x v="12"/>
    </i>
    <i>
      <x v="7"/>
    </i>
    <i>
      <x v="10"/>
    </i>
    <i>
      <x v="6"/>
    </i>
    <i t="grand">
      <x/>
    </i>
  </rowItems>
  <colItems count="1">
    <i/>
  </colItems>
  <dataFields count="1">
    <dataField name="Max of Review" fld="6" subtotal="max" baseField="3"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3A539D-DEF6-49EB-9AC8-83E98DB379B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iscount Category">
  <location ref="M4:N8" firstHeaderRow="1" firstDataRow="1" firstDataCol="1"/>
  <pivotFields count="9">
    <pivotField dataField="1" showAll="0">
      <items count="109">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x="107"/>
        <item x="48"/>
        <item x="45"/>
        <item x="82"/>
        <item x="102"/>
        <item x="43"/>
        <item x="54"/>
        <item x="36"/>
        <item x="47"/>
        <item x="74"/>
        <item x="52"/>
        <item x="7"/>
        <item x="35"/>
        <item x="71"/>
        <item x="25"/>
        <item x="30"/>
        <item x="23"/>
        <item x="10"/>
        <item x="80"/>
        <item x="61"/>
        <item x="97"/>
        <item x="67"/>
        <item x="24"/>
        <item x="17"/>
        <item x="13"/>
        <item x="8"/>
        <item x="38"/>
        <item x="32"/>
        <item x="22"/>
        <item x="101"/>
        <item x="18"/>
        <item x="76"/>
        <item x="1"/>
        <item x="94"/>
        <item x="40"/>
        <item x="14"/>
        <item x="85"/>
        <item x="29"/>
        <item x="51"/>
        <item x="58"/>
        <item x="81"/>
        <item x="83"/>
        <item x="16"/>
        <item x="49"/>
        <item x="50"/>
        <item x="4"/>
        <item x="2"/>
        <item x="92"/>
        <item x="26"/>
        <item x="87"/>
        <item x="37"/>
        <item x="88"/>
        <item x="42"/>
        <item x="103"/>
        <item x="53"/>
        <item x="104"/>
        <item x="62"/>
        <item x="86"/>
        <item x="91"/>
        <item x="106"/>
        <item x="84"/>
        <item x="68"/>
        <item x="3"/>
        <item x="69"/>
        <item t="default"/>
      </items>
    </pivotField>
    <pivotField numFmtId="164" showAll="0">
      <items count="11">
        <item x="0"/>
        <item x="1"/>
        <item x="2"/>
        <item x="3"/>
        <item x="4"/>
        <item x="5"/>
        <item x="6"/>
        <item x="7"/>
        <item x="8"/>
        <item x="9"/>
        <item t="default"/>
      </items>
    </pivotField>
    <pivotField numFmtId="164" showAll="0"/>
    <pivotField numFmtId="164" showAll="0">
      <items count="16">
        <item x="0"/>
        <item x="1"/>
        <item x="2"/>
        <item x="3"/>
        <item x="4"/>
        <item x="5"/>
        <item x="6"/>
        <item x="7"/>
        <item x="8"/>
        <item x="9"/>
        <item x="10"/>
        <item x="11"/>
        <item x="12"/>
        <item x="13"/>
        <item x="14"/>
        <item t="default"/>
      </items>
    </pivotField>
    <pivotField numFmtId="9" showAll="0">
      <items count="10">
        <item x="0"/>
        <item x="1"/>
        <item x="2"/>
        <item x="3"/>
        <item x="4"/>
        <item x="5"/>
        <item x="6"/>
        <item x="7"/>
        <item x="8"/>
        <item t="default"/>
      </items>
    </pivotField>
    <pivotField axis="axisRow" showAll="0">
      <items count="4">
        <item x="1"/>
        <item x="2"/>
        <item x="0"/>
        <item t="default"/>
      </items>
    </pivotField>
    <pivotField showAll="0"/>
    <pivotField showAll="0">
      <items count="5">
        <item x="1"/>
        <item x="0"/>
        <item x="2"/>
        <item x="3"/>
        <item t="default"/>
      </items>
    </pivotField>
    <pivotField showAll="0"/>
  </pivotFields>
  <rowFields count="1">
    <field x="5"/>
  </rowFields>
  <rowItems count="4">
    <i>
      <x/>
    </i>
    <i>
      <x v="1"/>
    </i>
    <i>
      <x v="2"/>
    </i>
    <i t="grand">
      <x/>
    </i>
  </rowItems>
  <colItems count="1">
    <i/>
  </colItems>
  <dataFields count="1">
    <dataField name="Count of Product"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5" count="1" selected="0">
            <x v="0"/>
          </reference>
        </references>
      </pivotArea>
    </chartFormat>
    <chartFormat chart="3" format="10">
      <pivotArea type="data" outline="0" fieldPosition="0">
        <references count="2">
          <reference field="4294967294" count="1" selected="0">
            <x v="0"/>
          </reference>
          <reference field="5" count="1" selected="0">
            <x v="1"/>
          </reference>
        </references>
      </pivotArea>
    </chartFormat>
    <chartFormat chart="3"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C9F8CD-B42E-42A9-ABFC-BAC9C31F0F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location ref="A3:B14" firstHeaderRow="1" firstDataRow="1" firstDataCol="1"/>
  <pivotFields count="9">
    <pivotField axis="axisRow" showAll="0" measureFilter="1" sortType="descending">
      <items count="109">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x="107"/>
        <item x="48"/>
        <item x="45"/>
        <item x="82"/>
        <item x="102"/>
        <item x="43"/>
        <item x="54"/>
        <item x="36"/>
        <item x="47"/>
        <item x="74"/>
        <item x="52"/>
        <item x="7"/>
        <item x="35"/>
        <item x="71"/>
        <item x="25"/>
        <item x="30"/>
        <item x="23"/>
        <item x="10"/>
        <item x="80"/>
        <item x="61"/>
        <item x="97"/>
        <item x="67"/>
        <item x="24"/>
        <item x="17"/>
        <item x="13"/>
        <item x="8"/>
        <item x="38"/>
        <item x="32"/>
        <item x="22"/>
        <item x="101"/>
        <item x="18"/>
        <item x="76"/>
        <item x="1"/>
        <item x="94"/>
        <item x="40"/>
        <item x="14"/>
        <item x="85"/>
        <item x="29"/>
        <item x="51"/>
        <item x="58"/>
        <item x="81"/>
        <item x="83"/>
        <item x="16"/>
        <item x="49"/>
        <item x="50"/>
        <item x="4"/>
        <item x="2"/>
        <item x="92"/>
        <item x="26"/>
        <item x="87"/>
        <item x="37"/>
        <item x="88"/>
        <item x="42"/>
        <item x="103"/>
        <item x="53"/>
        <item x="104"/>
        <item x="62"/>
        <item x="86"/>
        <item x="91"/>
        <item x="106"/>
        <item x="84"/>
        <item x="68"/>
        <item x="3"/>
        <item x="69"/>
        <item t="default"/>
      </items>
      <autoSortScope>
        <pivotArea dataOnly="0" outline="0" fieldPosition="0">
          <references count="1">
            <reference field="4294967294" count="1" selected="0">
              <x v="0"/>
            </reference>
          </references>
        </pivotArea>
      </autoSortScope>
    </pivotField>
    <pivotField numFmtId="164" showAll="0">
      <items count="11">
        <item x="0"/>
        <item x="1"/>
        <item x="2"/>
        <item x="3"/>
        <item x="4"/>
        <item x="5"/>
        <item x="6"/>
        <item x="7"/>
        <item x="8"/>
        <item x="9"/>
        <item t="default"/>
      </items>
    </pivotField>
    <pivotField numFmtId="164" showAll="0"/>
    <pivotField numFmtId="164" showAll="0">
      <items count="16">
        <item x="0"/>
        <item x="1"/>
        <item x="2"/>
        <item x="3"/>
        <item x="4"/>
        <item x="5"/>
        <item x="6"/>
        <item x="7"/>
        <item x="8"/>
        <item x="9"/>
        <item x="10"/>
        <item x="11"/>
        <item x="12"/>
        <item x="13"/>
        <item x="14"/>
        <item t="default"/>
      </items>
    </pivotField>
    <pivotField numFmtId="9" showAll="0">
      <items count="10">
        <item x="0"/>
        <item x="1"/>
        <item x="2"/>
        <item x="3"/>
        <item x="4"/>
        <item x="5"/>
        <item x="6"/>
        <item x="7"/>
        <item x="8"/>
        <item t="default"/>
      </items>
    </pivotField>
    <pivotField showAll="0">
      <items count="4">
        <item x="1"/>
        <item x="2"/>
        <item x="0"/>
        <item t="default"/>
      </items>
    </pivotField>
    <pivotField showAll="0"/>
    <pivotField showAll="0">
      <items count="5">
        <item x="1"/>
        <item x="0"/>
        <item x="2"/>
        <item x="3"/>
        <item t="default"/>
      </items>
    </pivotField>
    <pivotField dataField="1" showAll="0"/>
  </pivotFields>
  <rowFields count="1">
    <field x="0"/>
  </rowFields>
  <rowItems count="11">
    <i>
      <x v="51"/>
    </i>
    <i>
      <x v="67"/>
    </i>
    <i>
      <x v="64"/>
    </i>
    <i>
      <x v="39"/>
    </i>
    <i>
      <x v="86"/>
    </i>
    <i>
      <x v="43"/>
    </i>
    <i>
      <x v="56"/>
    </i>
    <i>
      <x v="69"/>
    </i>
    <i>
      <x v="89"/>
    </i>
    <i>
      <x v="21"/>
    </i>
    <i t="grand">
      <x/>
    </i>
  </rowItems>
  <colItems count="1">
    <i/>
  </colItems>
  <dataFields count="1">
    <dataField name="Max of Ratings" fld="8" subtotal="max"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C89489-7CE9-4C76-8F9D-79A08DADF89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URRENT PRODUCT PRICE">
  <location ref="X11:Y19" firstHeaderRow="1" firstDataRow="1" firstDataCol="1"/>
  <pivotFields count="9">
    <pivotField showAll="0"/>
    <pivotField axis="axisRow" numFmtId="164" showAll="0">
      <items count="11">
        <item x="0"/>
        <item x="1"/>
        <item x="2"/>
        <item x="3"/>
        <item x="4"/>
        <item x="5"/>
        <item x="6"/>
        <item x="7"/>
        <item x="8"/>
        <item x="9"/>
        <item t="default"/>
      </items>
    </pivotField>
    <pivotField numFmtId="164" showAll="0"/>
    <pivotField numFmtId="164" showAll="0"/>
    <pivotField numFmtId="9" showAll="0"/>
    <pivotField showAll="0"/>
    <pivotField dataField="1" showAll="0"/>
    <pivotField showAll="0">
      <items count="5">
        <item x="1"/>
        <item x="0"/>
        <item x="2"/>
        <item x="3"/>
        <item t="default"/>
      </items>
    </pivotField>
    <pivotField showAll="0"/>
  </pivotFields>
  <rowFields count="1">
    <field x="1"/>
  </rowFields>
  <rowItems count="8">
    <i>
      <x v="1"/>
    </i>
    <i>
      <x v="2"/>
    </i>
    <i>
      <x v="3"/>
    </i>
    <i>
      <x v="4"/>
    </i>
    <i>
      <x v="5"/>
    </i>
    <i>
      <x v="6"/>
    </i>
    <i>
      <x v="8"/>
    </i>
    <i t="grand">
      <x/>
    </i>
  </rowItems>
  <colItems count="1">
    <i/>
  </colItems>
  <dataFields count="1">
    <dataField name="Max of Review" fld="6" subtotal="max" baseField="1" baseItem="0"/>
  </dataFields>
  <chartFormats count="2">
    <chartFormat chart="0"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D8E907-8D18-41D3-A8A7-F830DA545C3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3:Y7" firstHeaderRow="1" firstDataRow="1" firstDataCol="1"/>
  <pivotFields count="9">
    <pivotField showAll="0"/>
    <pivotField numFmtId="164" showAll="0">
      <items count="11">
        <item x="0"/>
        <item x="1"/>
        <item x="2"/>
        <item x="3"/>
        <item x="4"/>
        <item x="5"/>
        <item x="6"/>
        <item x="7"/>
        <item x="8"/>
        <item x="9"/>
        <item t="default"/>
      </items>
    </pivotField>
    <pivotField numFmtId="164" showAll="0"/>
    <pivotField numFmtId="164" showAll="0"/>
    <pivotField axis="axisRow" numFmtId="9" showAll="0">
      <items count="10">
        <item x="0"/>
        <item x="1"/>
        <item x="2"/>
        <item x="3"/>
        <item x="4"/>
        <item x="5"/>
        <item x="6"/>
        <item x="7"/>
        <item x="8"/>
        <item t="default"/>
      </items>
    </pivotField>
    <pivotField axis="axisRow" showAll="0">
      <items count="4">
        <item sd="0" x="1"/>
        <item sd="0" x="2"/>
        <item sd="0" x="0"/>
        <item t="default"/>
      </items>
    </pivotField>
    <pivotField dataField="1" showAll="0"/>
    <pivotField showAll="0">
      <items count="5">
        <item x="1"/>
        <item x="0"/>
        <item x="2"/>
        <item x="3"/>
        <item t="default"/>
      </items>
    </pivotField>
    <pivotField showAll="0"/>
  </pivotFields>
  <rowFields count="2">
    <field x="5"/>
    <field x="4"/>
  </rowFields>
  <rowItems count="4">
    <i>
      <x/>
    </i>
    <i>
      <x v="1"/>
    </i>
    <i>
      <x v="2"/>
    </i>
    <i t="grand">
      <x/>
    </i>
  </rowItems>
  <colItems count="1">
    <i/>
  </colItems>
  <dataFields count="1">
    <dataField name="Count of Review"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C7A5C1-E263-4CF7-8D84-22365513B57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4" firstHeaderRow="1" firstDataRow="1" firstDataCol="1"/>
  <pivotFields count="9">
    <pivotField axis="axisRow" showAll="0" measureFilter="1" sortType="descending">
      <items count="109">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x="107"/>
        <item x="48"/>
        <item x="45"/>
        <item x="82"/>
        <item x="102"/>
        <item x="43"/>
        <item x="54"/>
        <item x="36"/>
        <item x="47"/>
        <item x="74"/>
        <item x="52"/>
        <item x="7"/>
        <item x="35"/>
        <item x="71"/>
        <item x="25"/>
        <item x="30"/>
        <item x="23"/>
        <item x="10"/>
        <item x="80"/>
        <item x="61"/>
        <item x="97"/>
        <item x="67"/>
        <item x="24"/>
        <item x="17"/>
        <item x="13"/>
        <item x="8"/>
        <item x="38"/>
        <item x="32"/>
        <item x="22"/>
        <item x="101"/>
        <item x="18"/>
        <item x="76"/>
        <item x="1"/>
        <item x="94"/>
        <item x="40"/>
        <item x="14"/>
        <item x="85"/>
        <item x="29"/>
        <item x="51"/>
        <item x="58"/>
        <item x="81"/>
        <item x="83"/>
        <item x="16"/>
        <item x="49"/>
        <item x="50"/>
        <item x="4"/>
        <item x="2"/>
        <item x="92"/>
        <item x="26"/>
        <item x="87"/>
        <item x="37"/>
        <item x="88"/>
        <item x="42"/>
        <item x="103"/>
        <item x="53"/>
        <item x="104"/>
        <item x="62"/>
        <item x="86"/>
        <item x="91"/>
        <item x="106"/>
        <item x="84"/>
        <item x="68"/>
        <item x="3"/>
        <item x="69"/>
        <item t="default"/>
      </items>
      <autoSortScope>
        <pivotArea dataOnly="0" outline="0" fieldPosition="0">
          <references count="1">
            <reference field="4294967294" count="1" selected="0">
              <x v="0"/>
            </reference>
          </references>
        </pivotArea>
      </autoSortScope>
    </pivotField>
    <pivotField numFmtId="164" showAll="0">
      <items count="11">
        <item x="0"/>
        <item x="1"/>
        <item x="2"/>
        <item x="3"/>
        <item x="4"/>
        <item x="5"/>
        <item x="6"/>
        <item x="7"/>
        <item x="8"/>
        <item x="9"/>
        <item t="default"/>
      </items>
    </pivotField>
    <pivotField numFmtId="164" showAll="0"/>
    <pivotField numFmtId="164" showAll="0">
      <items count="16">
        <item x="0"/>
        <item x="1"/>
        <item x="2"/>
        <item x="3"/>
        <item x="4"/>
        <item x="5"/>
        <item x="6"/>
        <item x="7"/>
        <item x="8"/>
        <item x="9"/>
        <item x="10"/>
        <item x="11"/>
        <item x="12"/>
        <item x="13"/>
        <item x="14"/>
        <item t="default"/>
      </items>
    </pivotField>
    <pivotField dataField="1" numFmtId="9" showAll="0">
      <items count="10">
        <item x="0"/>
        <item x="1"/>
        <item x="2"/>
        <item x="3"/>
        <item x="4"/>
        <item x="5"/>
        <item x="6"/>
        <item x="7"/>
        <item x="8"/>
        <item t="default"/>
      </items>
    </pivotField>
    <pivotField showAll="0">
      <items count="4">
        <item x="1"/>
        <item x="2"/>
        <item x="0"/>
        <item t="default"/>
      </items>
    </pivotField>
    <pivotField showAll="0"/>
    <pivotField showAll="0">
      <items count="5">
        <item x="1"/>
        <item x="0"/>
        <item x="2"/>
        <item x="3"/>
        <item t="default"/>
      </items>
    </pivotField>
    <pivotField showAll="0"/>
  </pivotFields>
  <rowFields count="1">
    <field x="0"/>
  </rowFields>
  <rowItems count="11">
    <i>
      <x v="30"/>
    </i>
    <i>
      <x v="52"/>
    </i>
    <i>
      <x v="69"/>
    </i>
    <i>
      <x v="29"/>
    </i>
    <i>
      <x v="66"/>
    </i>
    <i>
      <x v="83"/>
    </i>
    <i>
      <x v="51"/>
    </i>
    <i>
      <x v="19"/>
    </i>
    <i>
      <x v="63"/>
    </i>
    <i>
      <x v="59"/>
    </i>
    <i t="grand">
      <x/>
    </i>
  </rowItems>
  <colItems count="1">
    <i/>
  </colItems>
  <dataFields count="1">
    <dataField name="Max of Discount" fld="4" subtotal="max" baseField="0" baseItem="0" numFmtId="9"/>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7092B6-9F86-47E1-BB80-E4331AE8D21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ATING CATEGORY">
  <location ref="R3:S8" firstHeaderRow="1" firstDataRow="1" firstDataCol="1"/>
  <pivotFields count="9">
    <pivotField showAll="0">
      <items count="109">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x="107"/>
        <item x="48"/>
        <item x="45"/>
        <item x="82"/>
        <item x="102"/>
        <item x="43"/>
        <item x="54"/>
        <item x="36"/>
        <item x="47"/>
        <item x="74"/>
        <item x="52"/>
        <item x="7"/>
        <item x="35"/>
        <item x="71"/>
        <item x="25"/>
        <item x="30"/>
        <item x="23"/>
        <item x="10"/>
        <item x="80"/>
        <item x="61"/>
        <item x="97"/>
        <item x="67"/>
        <item x="24"/>
        <item x="17"/>
        <item x="13"/>
        <item x="8"/>
        <item x="38"/>
        <item x="32"/>
        <item x="22"/>
        <item x="101"/>
        <item x="18"/>
        <item x="76"/>
        <item x="1"/>
        <item x="94"/>
        <item x="40"/>
        <item x="14"/>
        <item x="85"/>
        <item x="29"/>
        <item x="51"/>
        <item x="58"/>
        <item x="81"/>
        <item x="83"/>
        <item x="16"/>
        <item x="49"/>
        <item x="50"/>
        <item x="4"/>
        <item x="2"/>
        <item x="92"/>
        <item x="26"/>
        <item x="87"/>
        <item x="37"/>
        <item x="88"/>
        <item x="42"/>
        <item x="103"/>
        <item x="53"/>
        <item x="104"/>
        <item x="62"/>
        <item x="86"/>
        <item x="91"/>
        <item x="106"/>
        <item x="84"/>
        <item x="68"/>
        <item x="3"/>
        <item x="69"/>
        <item t="default"/>
      </items>
    </pivotField>
    <pivotField numFmtId="164" showAll="0">
      <items count="11">
        <item x="0"/>
        <item x="1"/>
        <item x="2"/>
        <item x="3"/>
        <item x="4"/>
        <item x="5"/>
        <item x="6"/>
        <item x="7"/>
        <item x="8"/>
        <item x="9"/>
        <item t="default"/>
      </items>
    </pivotField>
    <pivotField numFmtId="164" showAll="0"/>
    <pivotField numFmtId="164" showAll="0">
      <items count="16">
        <item x="0"/>
        <item x="1"/>
        <item x="2"/>
        <item x="3"/>
        <item x="4"/>
        <item x="5"/>
        <item x="6"/>
        <item x="7"/>
        <item x="8"/>
        <item x="9"/>
        <item x="10"/>
        <item x="11"/>
        <item x="12"/>
        <item x="13"/>
        <item x="14"/>
        <item t="default"/>
      </items>
    </pivotField>
    <pivotField numFmtId="9" showAll="0">
      <items count="10">
        <item x="0"/>
        <item x="1"/>
        <item x="2"/>
        <item x="3"/>
        <item x="4"/>
        <item x="5"/>
        <item x="6"/>
        <item x="7"/>
        <item x="8"/>
        <item t="default"/>
      </items>
    </pivotField>
    <pivotField showAll="0">
      <items count="4">
        <item x="1"/>
        <item x="2"/>
        <item x="0"/>
        <item t="default"/>
      </items>
    </pivotField>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axis="axisRow" showAll="0">
      <items count="5">
        <item x="1"/>
        <item x="0"/>
        <item x="2"/>
        <item x="3"/>
        <item t="default"/>
      </items>
    </pivotField>
    <pivotField showAll="0">
      <items count="24">
        <item x="22"/>
        <item x="15"/>
        <item x="19"/>
        <item x="20"/>
        <item x="13"/>
        <item x="21"/>
        <item x="17"/>
        <item x="16"/>
        <item x="18"/>
        <item x="14"/>
        <item x="9"/>
        <item x="6"/>
        <item x="5"/>
        <item x="1"/>
        <item x="7"/>
        <item x="12"/>
        <item x="11"/>
        <item x="0"/>
        <item x="2"/>
        <item x="3"/>
        <item x="4"/>
        <item x="8"/>
        <item x="10"/>
        <item t="default"/>
      </items>
    </pivotField>
  </pivotFields>
  <rowFields count="1">
    <field x="7"/>
  </rowFields>
  <rowItems count="5">
    <i>
      <x/>
    </i>
    <i>
      <x v="1"/>
    </i>
    <i>
      <x v="2"/>
    </i>
    <i>
      <x v="3"/>
    </i>
    <i t="grand">
      <x/>
    </i>
  </rowItems>
  <colItems count="1">
    <i/>
  </colItems>
  <dataFields count="1">
    <dataField name="No of Review"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474B7D-9DB7-40C6-8F07-E34D9C8E684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4" firstHeaderRow="1" firstDataRow="1" firstDataCol="1"/>
  <pivotFields count="9">
    <pivotField axis="axisRow" showAll="0" measureFilter="1" sortType="descending">
      <items count="109">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x="107"/>
        <item x="48"/>
        <item x="45"/>
        <item x="82"/>
        <item x="102"/>
        <item x="43"/>
        <item x="54"/>
        <item x="36"/>
        <item x="47"/>
        <item x="74"/>
        <item x="52"/>
        <item x="7"/>
        <item x="35"/>
        <item x="71"/>
        <item x="25"/>
        <item x="30"/>
        <item x="23"/>
        <item x="10"/>
        <item x="80"/>
        <item x="61"/>
        <item x="97"/>
        <item x="67"/>
        <item x="24"/>
        <item x="17"/>
        <item x="13"/>
        <item x="8"/>
        <item x="38"/>
        <item x="32"/>
        <item x="22"/>
        <item x="101"/>
        <item x="18"/>
        <item x="76"/>
        <item x="1"/>
        <item x="94"/>
        <item x="40"/>
        <item x="14"/>
        <item x="85"/>
        <item x="29"/>
        <item x="51"/>
        <item x="58"/>
        <item x="81"/>
        <item x="83"/>
        <item x="16"/>
        <item x="49"/>
        <item x="50"/>
        <item x="4"/>
        <item x="2"/>
        <item x="92"/>
        <item x="26"/>
        <item x="87"/>
        <item x="37"/>
        <item x="88"/>
        <item x="42"/>
        <item x="103"/>
        <item x="53"/>
        <item x="104"/>
        <item x="62"/>
        <item x="86"/>
        <item x="91"/>
        <item x="106"/>
        <item x="84"/>
        <item x="68"/>
        <item x="3"/>
        <item x="69"/>
        <item t="default"/>
      </items>
      <autoSortScope>
        <pivotArea dataOnly="0" outline="0" fieldPosition="0">
          <references count="1">
            <reference field="4294967294" count="1" selected="0">
              <x v="0"/>
            </reference>
          </references>
        </pivotArea>
      </autoSortScope>
    </pivotField>
    <pivotField numFmtId="164" showAll="0">
      <items count="11">
        <item x="0"/>
        <item x="1"/>
        <item x="2"/>
        <item x="3"/>
        <item x="4"/>
        <item x="5"/>
        <item x="6"/>
        <item x="7"/>
        <item x="8"/>
        <item x="9"/>
        <item t="default"/>
      </items>
    </pivotField>
    <pivotField numFmtId="164" showAll="0"/>
    <pivotField numFmtId="164" showAll="0">
      <items count="16">
        <item x="0"/>
        <item x="1"/>
        <item x="2"/>
        <item x="3"/>
        <item x="4"/>
        <item x="5"/>
        <item x="6"/>
        <item x="7"/>
        <item x="8"/>
        <item x="9"/>
        <item x="10"/>
        <item x="11"/>
        <item x="12"/>
        <item x="13"/>
        <item x="14"/>
        <item t="default"/>
      </items>
    </pivotField>
    <pivotField numFmtId="9" showAll="0">
      <items count="10">
        <item x="0"/>
        <item x="1"/>
        <item x="2"/>
        <item x="3"/>
        <item x="4"/>
        <item x="5"/>
        <item x="6"/>
        <item x="7"/>
        <item x="8"/>
        <item t="default"/>
      </items>
    </pivotField>
    <pivotField showAll="0">
      <items count="4">
        <item x="1"/>
        <item x="2"/>
        <item x="0"/>
        <item t="default"/>
      </items>
    </pivotField>
    <pivotField dataField="1" showAll="0"/>
    <pivotField showAll="0">
      <items count="5">
        <item x="1"/>
        <item x="0"/>
        <item x="2"/>
        <item x="3"/>
        <item t="default"/>
      </items>
    </pivotField>
    <pivotField showAll="0"/>
  </pivotFields>
  <rowFields count="1">
    <field x="0"/>
  </rowFields>
  <rowItems count="11">
    <i>
      <x v="4"/>
    </i>
    <i>
      <x v="7"/>
    </i>
    <i>
      <x v="58"/>
    </i>
    <i>
      <x v="17"/>
    </i>
    <i>
      <x/>
    </i>
    <i>
      <x v="94"/>
    </i>
    <i>
      <x v="26"/>
    </i>
    <i>
      <x v="90"/>
    </i>
    <i>
      <x v="27"/>
    </i>
    <i>
      <x v="25"/>
    </i>
    <i t="grand">
      <x/>
    </i>
  </rowItems>
  <colItems count="1">
    <i/>
  </colItems>
  <dataFields count="1">
    <dataField name="Max of Review" fld="6" subtotal="max"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A13C4B-F6FF-4D99-9CC1-7481C7852A4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J10:J11" firstHeaderRow="1" firstDataRow="1" firstDataCol="0"/>
  <pivotFields count="9">
    <pivotField dataField="1" showAll="0">
      <items count="109">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x="107"/>
        <item x="48"/>
        <item x="45"/>
        <item x="82"/>
        <item x="102"/>
        <item x="43"/>
        <item x="54"/>
        <item x="36"/>
        <item x="47"/>
        <item x="74"/>
        <item x="52"/>
        <item x="7"/>
        <item x="35"/>
        <item x="71"/>
        <item x="25"/>
        <item x="30"/>
        <item x="23"/>
        <item x="10"/>
        <item x="80"/>
        <item x="61"/>
        <item x="97"/>
        <item x="67"/>
        <item x="24"/>
        <item x="17"/>
        <item x="13"/>
        <item x="8"/>
        <item x="38"/>
        <item x="32"/>
        <item x="22"/>
        <item x="101"/>
        <item x="18"/>
        <item x="76"/>
        <item x="1"/>
        <item x="94"/>
        <item x="40"/>
        <item x="14"/>
        <item x="85"/>
        <item x="29"/>
        <item x="51"/>
        <item x="58"/>
        <item x="81"/>
        <item x="83"/>
        <item x="16"/>
        <item x="49"/>
        <item x="50"/>
        <item x="4"/>
        <item x="2"/>
        <item x="92"/>
        <item x="26"/>
        <item x="87"/>
        <item x="37"/>
        <item x="88"/>
        <item x="42"/>
        <item x="103"/>
        <item x="53"/>
        <item x="104"/>
        <item x="62"/>
        <item x="86"/>
        <item x="91"/>
        <item x="106"/>
        <item x="84"/>
        <item x="68"/>
        <item x="3"/>
        <item x="69"/>
        <item t="default"/>
      </items>
    </pivotField>
    <pivotField numFmtId="164" showAll="0">
      <items count="11">
        <item x="0"/>
        <item x="1"/>
        <item x="2"/>
        <item x="3"/>
        <item x="4"/>
        <item x="5"/>
        <item x="6"/>
        <item x="7"/>
        <item x="8"/>
        <item x="9"/>
        <item t="default"/>
      </items>
    </pivotField>
    <pivotField numFmtId="164" showAll="0"/>
    <pivotField numFmtId="164" showAll="0">
      <items count="16">
        <item x="0"/>
        <item x="1"/>
        <item x="2"/>
        <item x="3"/>
        <item x="4"/>
        <item x="5"/>
        <item x="6"/>
        <item x="7"/>
        <item x="8"/>
        <item x="9"/>
        <item x="10"/>
        <item x="11"/>
        <item x="12"/>
        <item x="13"/>
        <item x="14"/>
        <item t="default"/>
      </items>
    </pivotField>
    <pivotField numFmtId="9" showAll="0">
      <items count="10">
        <item x="0"/>
        <item x="1"/>
        <item x="2"/>
        <item x="3"/>
        <item x="4"/>
        <item x="5"/>
        <item x="6"/>
        <item x="7"/>
        <item x="8"/>
        <item t="default"/>
      </items>
    </pivotField>
    <pivotField showAll="0">
      <items count="4">
        <item x="1"/>
        <item x="2"/>
        <item x="0"/>
        <item t="default"/>
      </items>
    </pivotField>
    <pivotField showAll="0"/>
    <pivotField showAll="0">
      <items count="5">
        <item x="1"/>
        <item x="0"/>
        <item x="2"/>
        <item x="3"/>
        <item t="default"/>
      </items>
    </pivotField>
    <pivotField showAll="0"/>
  </pivotFields>
  <rowItems count="1">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02784E-8021-473A-BCCE-E26951DD148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
  <location ref="U3:V11" firstHeaderRow="1" firstDataRow="1" firstDataCol="1"/>
  <pivotFields count="9">
    <pivotField showAll="0"/>
    <pivotField numFmtId="164" showAll="0">
      <items count="11">
        <item x="0"/>
        <item x="1"/>
        <item x="2"/>
        <item x="3"/>
        <item x="4"/>
        <item x="5"/>
        <item x="6"/>
        <item x="7"/>
        <item x="8"/>
        <item x="9"/>
        <item t="default"/>
      </items>
    </pivotField>
    <pivotField numFmtId="164" showAll="0"/>
    <pivotField numFmtId="164" showAll="0"/>
    <pivotField axis="axisRow" numFmtId="9" showAll="0" sortType="descending">
      <items count="10">
        <item x="0"/>
        <item x="1"/>
        <item x="2"/>
        <item x="3"/>
        <item x="4"/>
        <item x="5"/>
        <item x="6"/>
        <item x="7"/>
        <item x="8"/>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5">
        <item x="1"/>
        <item x="0"/>
        <item x="2"/>
        <item x="3"/>
        <item t="default"/>
      </items>
    </pivotField>
    <pivotField showAll="0"/>
  </pivotFields>
  <rowFields count="1">
    <field x="4"/>
  </rowFields>
  <rowItems count="8">
    <i>
      <x v="5"/>
    </i>
    <i>
      <x v="4"/>
    </i>
    <i>
      <x v="3"/>
    </i>
    <i>
      <x v="1"/>
    </i>
    <i>
      <x v="6"/>
    </i>
    <i>
      <x v="2"/>
    </i>
    <i>
      <x v="7"/>
    </i>
    <i t="grand">
      <x/>
    </i>
  </rowItems>
  <colItems count="1">
    <i/>
  </colItems>
  <dataFields count="1">
    <dataField name="Count of Review" fld="6" subtotal="count" baseField="0" baseItem="0"/>
  </dataFields>
  <formats count="1">
    <format dxfId="0">
      <pivotArea dataOnly="0" labelOnly="1" fieldPosition="0">
        <references count="1">
          <reference field="4"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F86AD80-274B-471C-82D6-F31258C6E62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14:V19" firstHeaderRow="1" firstDataRow="1" firstDataCol="1"/>
  <pivotFields count="9">
    <pivotField showAll="0"/>
    <pivotField numFmtId="164" showAll="0">
      <items count="11">
        <item x="0"/>
        <item x="1"/>
        <item x="2"/>
        <item x="3"/>
        <item x="4"/>
        <item x="5"/>
        <item x="6"/>
        <item x="7"/>
        <item x="8"/>
        <item x="9"/>
        <item t="default"/>
      </items>
    </pivotField>
    <pivotField numFmtId="164" showAll="0"/>
    <pivotField numFmtId="164" showAll="0"/>
    <pivotField numFmtId="9" showAll="0"/>
    <pivotField dataField="1" showAll="0">
      <items count="4">
        <item x="1"/>
        <item x="2"/>
        <item x="0"/>
        <item t="default"/>
      </items>
    </pivotField>
    <pivotField showAll="0"/>
    <pivotField axis="axisRow" showAll="0">
      <items count="5">
        <item x="1"/>
        <item x="0"/>
        <item x="2"/>
        <item x="3"/>
        <item t="default"/>
      </items>
    </pivotField>
    <pivotField showAll="0"/>
  </pivotFields>
  <rowFields count="1">
    <field x="7"/>
  </rowFields>
  <rowItems count="5">
    <i>
      <x/>
    </i>
    <i>
      <x v="1"/>
    </i>
    <i>
      <x v="2"/>
    </i>
    <i>
      <x v="3"/>
    </i>
    <i t="grand">
      <x/>
    </i>
  </rowItems>
  <colItems count="1">
    <i/>
  </colItems>
  <dataFields count="1">
    <dataField name="Count of Discount Category"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E05DEC97-CD82-43C8-A63F-A2209C2A2426}" sourceName="Rating Category">
  <pivotTables>
    <pivotTable tabId="2" name="PivotTable4"/>
    <pivotTable tabId="2" name="PivotTable5"/>
    <pivotTable tabId="2" name="PivotTable6"/>
    <pivotTable tabId="2" name="PivotTable8"/>
    <pivotTable tabId="2" name="PivotTable9"/>
    <pivotTable tabId="2" name="PivotTable1"/>
    <pivotTable tabId="2" name="PivotTable10"/>
    <pivotTable tabId="2" name="PivotTable11"/>
    <pivotTable tabId="2" name="PivotTable12"/>
    <pivotTable tabId="2" name="PivotTable2"/>
    <pivotTable tabId="2" name="PivotTable3"/>
    <pivotTable tabId="2" name="PivotTable7"/>
  </pivotTables>
  <data>
    <tabular pivotCacheId="425880348">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0587EAED-6CD1-4AFA-AA72-34FDF15D6A75}" sourceName="Discount Category">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425880348">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1" xr10:uid="{F5C4B281-500D-449A-AF74-B15C9312B2D0}" sourceName="Discount">
  <pivotTables>
    <pivotTable tabId="2" name="PivotTable9"/>
    <pivotTable tabId="2" name="PivotTable1"/>
    <pivotTable tabId="2" name="PivotTable2"/>
    <pivotTable tabId="2" name="PivotTable3"/>
    <pivotTable tabId="2" name="PivotTable4"/>
    <pivotTable tabId="2" name="PivotTable6"/>
    <pivotTable tabId="2" name="PivotTable7"/>
    <pivotTable tabId="2" name="PivotTable8"/>
  </pivotTables>
  <data>
    <tabular pivotCacheId="425880348">
      <items count="9">
        <i x="1" s="1"/>
        <i x="2" s="1"/>
        <i x="3" s="1"/>
        <i x="4" s="1"/>
        <i x="5" s="1"/>
        <i x="6" s="1"/>
        <i x="7" s="1"/>
        <i x="0" s="1" nd="1"/>
        <i x="8"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price" xr10:uid="{E05C4A4F-3947-4D71-9D8A-13C4A62C0EBF}" sourceName="Current price">
  <pivotTables>
    <pivotTable tabId="2" name="PivotTable11"/>
    <pivotTable tabId="2" name="PivotTable1"/>
    <pivotTable tabId="2" name="PivotTable10"/>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425880348">
      <items count="10">
        <i x="3" s="1"/>
        <i x="1" s="1"/>
        <i x="4" s="1"/>
        <i x="5" s="1"/>
        <i x="6" s="1"/>
        <i x="8" s="1"/>
        <i x="2" s="1"/>
        <i x="0" s="1" nd="1"/>
        <i x="9"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4445EFCB-B535-4322-9E2C-DBB58278ACFA}" cache="Slicer_Rating_Category" caption="Rating Category" rowHeight="220133"/>
  <slicer name="Discount Category" xr10:uid="{C0086DF4-B676-453A-A8F0-70360DBE6FA8}" cache="Slicer_Discount_Category" caption="Discount Category" rowHeight="220133"/>
  <slicer name="Discount 1" xr10:uid="{F9C185AC-12CD-478A-A390-57E6EBF07F31}" cache="Slicer_Discount1" caption="Discount" rowHeight="220133"/>
  <slicer name="Discount" xr10:uid="{05CE9E72-0385-47DA-B7F9-5AB6F1DE0E0A}" cache="Slicer_Discount1" caption="Discount"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1" xr10:uid="{909B9755-011E-45EE-93F8-A6D7E91BAD7A}" cache="Slicer_Rating_Category" caption="Rating Category" rowHeight="220133"/>
  <slicer name="Discount Category 1" xr10:uid="{C6037BFA-20A8-4CD1-902D-19F4373FBE24}" cache="Slicer_Discount_Category" caption="Discount Category" rowHeight="220133"/>
  <slicer name="Discount 2" xr10:uid="{2F7928AC-09E9-4419-915E-A6D3AB645278}" cache="Slicer_Discount1" caption="Discount" rowHeight="220133"/>
  <slicer name="Current price" xr10:uid="{3CCC17EB-7A60-42C2-8B9B-734A23ECD3B3}" cache="Slicer_Current_price" caption="Current price"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87C44B-EC09-4938-9982-DCF931AB5B03}" name="Table1" displayName="Table1" ref="A1:I110" totalsRowCount="1">
  <autoFilter ref="A1:I109" xr:uid="{0587C44B-EC09-4938-9982-DCF931AB5B03}"/>
  <tableColumns count="9">
    <tableColumn id="1" xr3:uid="{EDE86050-E822-4D9D-9E83-B52CD36EAF3A}" name="Product" totalsRowFunction="count"/>
    <tableColumn id="2" xr3:uid="{A883B662-2C09-4519-B001-C647FC24329B}" name="Current price" totalsRowFunction="average" dataDxfId="13" totalsRowDxfId="12"/>
    <tableColumn id="3" xr3:uid="{379B90B1-A833-461C-840A-10CEEE262BFB}" name="Old price" totalsRowFunction="average" dataDxfId="11" totalsRowDxfId="10"/>
    <tableColumn id="7" xr3:uid="{6A5BAB3F-3885-401B-BFE2-9F62599C727E}" name="Discount Amount" totalsRowFunction="min" dataDxfId="9" totalsRowDxfId="8">
      <calculatedColumnFormula>C2-B2</calculatedColumnFormula>
    </tableColumn>
    <tableColumn id="4" xr3:uid="{E0CEF469-DC96-4BB3-A896-25FEE749D39E}" name="Discount" totalsRowFunction="average" dataDxfId="7" totalsRowDxfId="6"/>
    <tableColumn id="11" xr3:uid="{1E5A751D-3A62-4BA3-B6F2-C16510496D73}" name="Discount Category" totalsRowFunction="average" dataDxfId="5" totalsRowDxfId="4">
      <calculatedColumnFormula>IF(OR(E2="N/A",E2="N/A"),"",IF(E2&lt;20%,"Low Discount",IF(E2&lt;=40%,"Medium Discount","High Discount")))</calculatedColumnFormula>
    </tableColumn>
    <tableColumn id="9" xr3:uid="{637C775B-FC86-4F38-BEB7-C91B2C110CB5}" name="Review" totalsRowFunction="sum" dataDxfId="3"/>
    <tableColumn id="10" xr3:uid="{ABADF1FB-F034-4149-BBAB-912BD7EC1025}" name="Rating Category" totalsRowFunction="average" dataDxfId="2">
      <calculatedColumnFormula>IF(I2="N/A","N/A",IF(I2&lt;3,"Poor",IF(I2&lt;=4.4,"Average","Excellent")))</calculatedColumnFormula>
    </tableColumn>
    <tableColumn id="6" xr3:uid="{867364E2-AE48-4CCB-BD77-75288074A6E5}" name="Ratings" totalsRowFunction="average" dataDxfId="1"/>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1"/>
  <sheetViews>
    <sheetView tabSelected="1" workbookViewId="0">
      <selection activeCell="D18" sqref="D18"/>
    </sheetView>
  </sheetViews>
  <sheetFormatPr defaultRowHeight="14" customHeight="1" x14ac:dyDescent="0.3"/>
  <cols>
    <col min="1" max="1" width="82.6328125"/>
    <col min="2" max="3" width="19.1796875" style="2"/>
    <col min="4" max="4" width="17.08984375" style="2" bestFit="1" customWidth="1"/>
    <col min="5" max="5" width="9.90625" style="5" customWidth="1"/>
    <col min="6" max="6" width="18.08984375" style="5" bestFit="1" customWidth="1"/>
    <col min="7" max="7" width="10.08984375"/>
    <col min="8" max="8" width="16.26953125" bestFit="1" customWidth="1"/>
    <col min="9" max="17" width="13.26953125"/>
  </cols>
  <sheetData>
    <row r="1" spans="1:9" ht="14" customHeight="1" x14ac:dyDescent="0.3">
      <c r="A1" t="s">
        <v>0</v>
      </c>
      <c r="B1" s="2" t="s">
        <v>1</v>
      </c>
      <c r="C1" s="2" t="s">
        <v>112</v>
      </c>
      <c r="D1" s="2" t="s">
        <v>113</v>
      </c>
      <c r="E1" s="5" t="s">
        <v>2</v>
      </c>
      <c r="F1" s="5" t="s">
        <v>117</v>
      </c>
      <c r="G1" s="4" t="s">
        <v>3</v>
      </c>
      <c r="H1" s="4" t="s">
        <v>116</v>
      </c>
      <c r="I1" t="s">
        <v>114</v>
      </c>
    </row>
    <row r="2" spans="1:9" ht="14" customHeight="1" x14ac:dyDescent="0.3">
      <c r="A2" t="s">
        <v>4</v>
      </c>
      <c r="B2" s="2">
        <v>950</v>
      </c>
      <c r="C2" s="2">
        <v>1525</v>
      </c>
      <c r="D2" s="2">
        <f t="shared" ref="D2:D33" si="0">C2-B2</f>
        <v>575</v>
      </c>
      <c r="E2" s="1">
        <v>0.38</v>
      </c>
      <c r="F2" s="1" t="str">
        <f t="shared" ref="F2:F33" si="1">IF(OR(E2="N/A",E2="N/A"),"",IF(E2&lt;20%,"Low Discount",IF(E2&lt;=40%,"Medium Discount","High Discount")))</f>
        <v>Medium Discount</v>
      </c>
      <c r="G2" s="4">
        <v>2</v>
      </c>
      <c r="H2" s="4" t="str">
        <f t="shared" ref="H2:H64" si="2">IF(I2="N/A","N/A",IF(I2&lt;3,"Poor",IF(I2&lt;=4.4,"Average","Excellent")))</f>
        <v>Excellent</v>
      </c>
      <c r="I2" s="3">
        <v>4.5</v>
      </c>
    </row>
    <row r="3" spans="1:9" ht="14" customHeight="1" x14ac:dyDescent="0.3">
      <c r="A3" t="s">
        <v>5</v>
      </c>
      <c r="B3" s="2">
        <v>527</v>
      </c>
      <c r="C3" s="2">
        <v>999</v>
      </c>
      <c r="D3" s="2">
        <f t="shared" si="0"/>
        <v>472</v>
      </c>
      <c r="E3" s="1">
        <v>0.47</v>
      </c>
      <c r="F3" s="1" t="str">
        <f t="shared" si="1"/>
        <v>High Discount</v>
      </c>
      <c r="G3" s="4">
        <v>14</v>
      </c>
      <c r="H3" s="4" t="str">
        <f t="shared" si="2"/>
        <v>Average</v>
      </c>
      <c r="I3" s="3">
        <v>4.0999999999999996</v>
      </c>
    </row>
    <row r="4" spans="1:9" ht="14" customHeight="1" x14ac:dyDescent="0.3">
      <c r="A4" t="s">
        <v>6</v>
      </c>
      <c r="B4" s="2">
        <v>2199</v>
      </c>
      <c r="C4" s="2">
        <v>2923</v>
      </c>
      <c r="D4" s="2">
        <f t="shared" si="0"/>
        <v>724</v>
      </c>
      <c r="E4" s="1">
        <v>0.25</v>
      </c>
      <c r="F4" s="1" t="str">
        <f t="shared" si="1"/>
        <v>Medium Discount</v>
      </c>
      <c r="G4" s="4">
        <v>24</v>
      </c>
      <c r="H4" s="4" t="str">
        <f t="shared" si="2"/>
        <v>Excellent</v>
      </c>
      <c r="I4" s="3">
        <v>4.5999999999999996</v>
      </c>
    </row>
    <row r="5" spans="1:9" ht="14" customHeight="1" x14ac:dyDescent="0.3">
      <c r="A5" t="s">
        <v>7</v>
      </c>
      <c r="B5" s="2">
        <v>1580</v>
      </c>
      <c r="C5" s="2">
        <v>2499</v>
      </c>
      <c r="D5" s="2">
        <f t="shared" si="0"/>
        <v>919</v>
      </c>
      <c r="E5" s="1">
        <v>0.37</v>
      </c>
      <c r="F5" s="1" t="str">
        <f t="shared" si="1"/>
        <v>Medium Discount</v>
      </c>
      <c r="G5" s="4">
        <v>7</v>
      </c>
      <c r="H5" s="4" t="str">
        <f t="shared" si="2"/>
        <v>Excellent</v>
      </c>
      <c r="I5" s="3">
        <v>4.7</v>
      </c>
    </row>
    <row r="6" spans="1:9" ht="14" customHeight="1" x14ac:dyDescent="0.3">
      <c r="A6" t="s">
        <v>8</v>
      </c>
      <c r="B6" s="2">
        <v>1740</v>
      </c>
      <c r="C6" s="2">
        <v>2356</v>
      </c>
      <c r="D6" s="2">
        <f t="shared" si="0"/>
        <v>616</v>
      </c>
      <c r="E6" s="1">
        <v>0.26</v>
      </c>
      <c r="F6" s="1" t="str">
        <f t="shared" si="1"/>
        <v>Medium Discount</v>
      </c>
      <c r="G6" s="4">
        <v>5</v>
      </c>
      <c r="H6" s="4" t="str">
        <f t="shared" si="2"/>
        <v>Excellent</v>
      </c>
      <c r="I6" s="3">
        <v>4.8</v>
      </c>
    </row>
    <row r="7" spans="1:9" ht="14" customHeight="1" x14ac:dyDescent="0.3">
      <c r="A7" t="s">
        <v>9</v>
      </c>
      <c r="B7" s="2">
        <v>2999</v>
      </c>
      <c r="C7" s="2">
        <v>3290</v>
      </c>
      <c r="D7" s="2">
        <f t="shared" si="0"/>
        <v>291</v>
      </c>
      <c r="E7" s="1">
        <v>0.09</v>
      </c>
      <c r="F7" s="1" t="str">
        <f t="shared" si="1"/>
        <v>Low Discount</v>
      </c>
      <c r="G7" s="4">
        <v>15</v>
      </c>
      <c r="H7" s="4" t="str">
        <f t="shared" si="2"/>
        <v>Average</v>
      </c>
      <c r="I7" s="3">
        <v>4</v>
      </c>
    </row>
    <row r="8" spans="1:9" ht="14" customHeight="1" x14ac:dyDescent="0.3">
      <c r="A8" t="s">
        <v>10</v>
      </c>
      <c r="B8" s="2">
        <v>2319</v>
      </c>
      <c r="C8" s="2">
        <v>3032</v>
      </c>
      <c r="D8" s="2">
        <f t="shared" si="0"/>
        <v>713</v>
      </c>
      <c r="E8" s="1">
        <v>0.24</v>
      </c>
      <c r="F8" s="1" t="str">
        <f t="shared" si="1"/>
        <v>Medium Discount</v>
      </c>
      <c r="G8" s="4">
        <v>55</v>
      </c>
      <c r="H8" s="4" t="str">
        <f t="shared" si="2"/>
        <v>Excellent</v>
      </c>
      <c r="I8" s="3">
        <v>4.5999999999999996</v>
      </c>
    </row>
    <row r="9" spans="1:9" ht="14" customHeight="1" x14ac:dyDescent="0.3">
      <c r="A9" t="s">
        <v>11</v>
      </c>
      <c r="B9" s="2">
        <v>988</v>
      </c>
      <c r="C9" s="2">
        <v>1580</v>
      </c>
      <c r="D9" s="2">
        <f t="shared" si="0"/>
        <v>592</v>
      </c>
      <c r="E9" s="1">
        <v>0.37</v>
      </c>
      <c r="F9" s="1" t="str">
        <f t="shared" si="1"/>
        <v>Medium Discount</v>
      </c>
      <c r="G9" s="4">
        <v>2</v>
      </c>
      <c r="H9" s="4" t="str">
        <f t="shared" si="2"/>
        <v>Average</v>
      </c>
      <c r="I9" s="3">
        <v>4</v>
      </c>
    </row>
    <row r="10" spans="1:9" ht="14" customHeight="1" x14ac:dyDescent="0.3">
      <c r="A10" t="s">
        <v>12</v>
      </c>
      <c r="B10" s="2">
        <v>1274</v>
      </c>
      <c r="C10" s="2">
        <v>2800</v>
      </c>
      <c r="D10" s="2">
        <f t="shared" si="0"/>
        <v>1526</v>
      </c>
      <c r="E10" s="1">
        <v>0.55000000000000004</v>
      </c>
      <c r="F10" s="1" t="str">
        <f t="shared" si="1"/>
        <v>High Discount</v>
      </c>
      <c r="G10" s="4">
        <v>5</v>
      </c>
      <c r="H10" s="4" t="str">
        <f t="shared" si="2"/>
        <v>Excellent</v>
      </c>
      <c r="I10" s="3">
        <v>4.8</v>
      </c>
    </row>
    <row r="11" spans="1:9" ht="14" customHeight="1" x14ac:dyDescent="0.3">
      <c r="A11" t="s">
        <v>13</v>
      </c>
      <c r="B11" s="2">
        <v>1600</v>
      </c>
      <c r="C11" s="2">
        <v>2929</v>
      </c>
      <c r="D11" s="2">
        <f t="shared" si="0"/>
        <v>1329</v>
      </c>
      <c r="E11" s="1">
        <v>0.45</v>
      </c>
      <c r="F11" s="1" t="str">
        <f t="shared" si="1"/>
        <v>High Discount</v>
      </c>
      <c r="G11" s="4">
        <v>5</v>
      </c>
      <c r="H11" s="4" t="str">
        <f t="shared" si="2"/>
        <v>Average</v>
      </c>
      <c r="I11" s="3">
        <v>3.8</v>
      </c>
    </row>
    <row r="12" spans="1:9" ht="14" customHeight="1" x14ac:dyDescent="0.3">
      <c r="A12" t="s">
        <v>14</v>
      </c>
      <c r="B12" s="2">
        <v>799</v>
      </c>
      <c r="C12" s="2">
        <v>999</v>
      </c>
      <c r="D12" s="2">
        <f t="shared" si="0"/>
        <v>200</v>
      </c>
      <c r="E12" s="1">
        <v>0.2</v>
      </c>
      <c r="F12" s="1" t="str">
        <f t="shared" si="1"/>
        <v>Medium Discount</v>
      </c>
      <c r="G12" s="4">
        <v>12</v>
      </c>
      <c r="H12" s="4" t="str">
        <f t="shared" si="2"/>
        <v>Average</v>
      </c>
      <c r="I12" s="3">
        <v>4.0999999999999996</v>
      </c>
    </row>
    <row r="13" spans="1:9" ht="14" customHeight="1" x14ac:dyDescent="0.3">
      <c r="A13" t="s">
        <v>15</v>
      </c>
      <c r="B13" s="2">
        <v>990</v>
      </c>
      <c r="C13" s="2">
        <v>1500</v>
      </c>
      <c r="D13" s="2">
        <f t="shared" si="0"/>
        <v>510</v>
      </c>
      <c r="E13" s="1">
        <v>0.34</v>
      </c>
      <c r="F13" s="1" t="str">
        <f t="shared" si="1"/>
        <v>Medium Discount</v>
      </c>
      <c r="G13" s="4">
        <v>39</v>
      </c>
      <c r="H13" s="4" t="str">
        <f t="shared" si="2"/>
        <v>Excellent</v>
      </c>
      <c r="I13" s="3">
        <v>4.7</v>
      </c>
    </row>
    <row r="14" spans="1:9" ht="14" customHeight="1" x14ac:dyDescent="0.3">
      <c r="A14" t="s">
        <v>16</v>
      </c>
      <c r="B14" s="2">
        <v>552</v>
      </c>
      <c r="C14" s="2">
        <v>1035</v>
      </c>
      <c r="D14" s="2">
        <f t="shared" si="0"/>
        <v>483</v>
      </c>
      <c r="E14" s="1">
        <v>0.47</v>
      </c>
      <c r="F14" s="1" t="str">
        <f t="shared" si="1"/>
        <v>High Discount</v>
      </c>
      <c r="G14" s="4">
        <v>12</v>
      </c>
      <c r="H14" s="4" t="str">
        <f t="shared" si="2"/>
        <v>Excellent</v>
      </c>
      <c r="I14" s="3">
        <v>4.8</v>
      </c>
    </row>
    <row r="15" spans="1:9" ht="14" customHeight="1" x14ac:dyDescent="0.3">
      <c r="A15" t="s">
        <v>17</v>
      </c>
      <c r="B15" s="2">
        <v>501</v>
      </c>
      <c r="C15" s="2">
        <v>860</v>
      </c>
      <c r="D15" s="2">
        <f t="shared" si="0"/>
        <v>359</v>
      </c>
      <c r="E15" s="1">
        <v>0.42</v>
      </c>
      <c r="F15" s="1" t="str">
        <f t="shared" si="1"/>
        <v>High Discount</v>
      </c>
      <c r="G15" s="4">
        <v>6</v>
      </c>
      <c r="H15" s="4" t="str">
        <f t="shared" si="2"/>
        <v>Excellent</v>
      </c>
      <c r="I15" s="3">
        <v>4.5</v>
      </c>
    </row>
    <row r="16" spans="1:9" ht="14" customHeight="1" x14ac:dyDescent="0.3">
      <c r="A16" t="s">
        <v>18</v>
      </c>
      <c r="B16" s="2">
        <v>1680</v>
      </c>
      <c r="C16" s="2">
        <v>2499</v>
      </c>
      <c r="D16" s="2">
        <f t="shared" si="0"/>
        <v>819</v>
      </c>
      <c r="E16" s="1">
        <v>0.33</v>
      </c>
      <c r="F16" s="1" t="str">
        <f t="shared" si="1"/>
        <v>Medium Discount</v>
      </c>
      <c r="G16" s="4">
        <v>9</v>
      </c>
      <c r="H16" s="4" t="str">
        <f t="shared" si="2"/>
        <v>Average</v>
      </c>
      <c r="I16" s="3">
        <v>4.2</v>
      </c>
    </row>
    <row r="17" spans="1:9" ht="14" customHeight="1" x14ac:dyDescent="0.3">
      <c r="A17" t="s">
        <v>19</v>
      </c>
      <c r="B17" s="2">
        <v>332</v>
      </c>
      <c r="C17" s="2">
        <v>684</v>
      </c>
      <c r="D17" s="2">
        <f t="shared" si="0"/>
        <v>352</v>
      </c>
      <c r="E17" s="1">
        <v>0.51</v>
      </c>
      <c r="F17" s="1" t="str">
        <f t="shared" si="1"/>
        <v>High Discount</v>
      </c>
      <c r="G17" s="4">
        <v>2</v>
      </c>
      <c r="H17" s="4" t="str">
        <f t="shared" si="2"/>
        <v>Excellent</v>
      </c>
      <c r="I17" s="3">
        <v>5</v>
      </c>
    </row>
    <row r="18" spans="1:9" ht="14" customHeight="1" x14ac:dyDescent="0.3">
      <c r="A18" t="s">
        <v>20</v>
      </c>
      <c r="B18" s="2">
        <v>195</v>
      </c>
      <c r="C18" s="2">
        <v>360</v>
      </c>
      <c r="D18" s="2">
        <f t="shared" si="0"/>
        <v>165</v>
      </c>
      <c r="E18" s="1">
        <v>0.46</v>
      </c>
      <c r="F18" s="1" t="str">
        <f t="shared" si="1"/>
        <v>High Discount</v>
      </c>
      <c r="G18" s="4">
        <v>2</v>
      </c>
      <c r="H18" s="4" t="str">
        <f t="shared" si="2"/>
        <v>Excellent</v>
      </c>
      <c r="I18" s="3">
        <v>5</v>
      </c>
    </row>
    <row r="19" spans="1:9" ht="14" customHeight="1" x14ac:dyDescent="0.3">
      <c r="A19" t="s">
        <v>21</v>
      </c>
      <c r="B19" s="2">
        <v>2025</v>
      </c>
      <c r="C19" s="2">
        <v>3971</v>
      </c>
      <c r="D19" s="2">
        <f t="shared" si="0"/>
        <v>1946</v>
      </c>
      <c r="E19" s="1">
        <v>0.49</v>
      </c>
      <c r="F19" s="1" t="str">
        <f t="shared" si="1"/>
        <v>High Discount</v>
      </c>
      <c r="G19" s="4">
        <v>3</v>
      </c>
      <c r="H19" s="4" t="str">
        <f t="shared" si="2"/>
        <v>Excellent</v>
      </c>
      <c r="I19" s="3">
        <v>5</v>
      </c>
    </row>
    <row r="20" spans="1:9" ht="14" customHeight="1" x14ac:dyDescent="0.3">
      <c r="A20" t="s">
        <v>22</v>
      </c>
      <c r="B20" s="2">
        <v>2999</v>
      </c>
      <c r="C20" s="2">
        <v>3699</v>
      </c>
      <c r="D20" s="2">
        <f t="shared" si="0"/>
        <v>700</v>
      </c>
      <c r="E20" s="1">
        <v>0.19</v>
      </c>
      <c r="F20" s="1" t="str">
        <f t="shared" si="1"/>
        <v>Low Discount</v>
      </c>
      <c r="G20" s="4">
        <v>5</v>
      </c>
      <c r="H20" s="4" t="str">
        <f t="shared" si="2"/>
        <v>Excellent</v>
      </c>
      <c r="I20" s="3">
        <v>4.5999999999999996</v>
      </c>
    </row>
    <row r="21" spans="1:9" ht="14" customHeight="1" x14ac:dyDescent="0.3">
      <c r="A21" t="s">
        <v>23</v>
      </c>
      <c r="B21" s="2">
        <v>998</v>
      </c>
      <c r="C21" s="2">
        <v>1966</v>
      </c>
      <c r="D21" s="2">
        <f t="shared" si="0"/>
        <v>968</v>
      </c>
      <c r="E21" s="1">
        <v>0.49</v>
      </c>
      <c r="F21" s="1" t="str">
        <f t="shared" si="1"/>
        <v>High Discount</v>
      </c>
      <c r="G21" s="4">
        <v>44</v>
      </c>
      <c r="H21" s="4" t="str">
        <f t="shared" si="2"/>
        <v>Excellent</v>
      </c>
      <c r="I21" s="3">
        <v>4.5999999999999996</v>
      </c>
    </row>
    <row r="22" spans="1:9" ht="13" x14ac:dyDescent="0.3">
      <c r="A22" t="s">
        <v>24</v>
      </c>
      <c r="B22" s="2">
        <v>38</v>
      </c>
      <c r="C22" s="2">
        <v>80</v>
      </c>
      <c r="D22" s="2">
        <f t="shared" si="0"/>
        <v>42</v>
      </c>
      <c r="E22" s="1">
        <v>0.53</v>
      </c>
      <c r="F22" s="1" t="str">
        <f t="shared" si="1"/>
        <v>High Discount</v>
      </c>
      <c r="G22" s="4">
        <v>13</v>
      </c>
      <c r="H22" s="4" t="str">
        <f t="shared" si="2"/>
        <v>Average</v>
      </c>
      <c r="I22" s="3">
        <v>3.3</v>
      </c>
    </row>
    <row r="23" spans="1:9" ht="13" x14ac:dyDescent="0.3">
      <c r="A23" t="s">
        <v>25</v>
      </c>
      <c r="B23" s="2">
        <v>1860</v>
      </c>
      <c r="C23" s="2">
        <v>3220</v>
      </c>
      <c r="D23" s="2">
        <f t="shared" si="0"/>
        <v>1360</v>
      </c>
      <c r="E23" s="1">
        <v>0.42</v>
      </c>
      <c r="F23" s="1" t="str">
        <f t="shared" si="1"/>
        <v>High Discount</v>
      </c>
      <c r="G23" s="4" t="s">
        <v>115</v>
      </c>
      <c r="H23" s="4" t="str">
        <f t="shared" si="2"/>
        <v>N/A</v>
      </c>
      <c r="I23" s="3" t="s">
        <v>115</v>
      </c>
    </row>
    <row r="24" spans="1:9" ht="13" x14ac:dyDescent="0.3">
      <c r="A24" t="s">
        <v>26</v>
      </c>
      <c r="B24" s="2">
        <v>880</v>
      </c>
      <c r="C24" s="2">
        <v>1350</v>
      </c>
      <c r="D24" s="2">
        <f t="shared" si="0"/>
        <v>470</v>
      </c>
      <c r="E24" s="1">
        <v>0.35</v>
      </c>
      <c r="F24" s="1" t="str">
        <f t="shared" si="1"/>
        <v>Medium Discount</v>
      </c>
      <c r="G24" s="4">
        <v>6</v>
      </c>
      <c r="H24" s="4" t="str">
        <f t="shared" si="2"/>
        <v>Average</v>
      </c>
      <c r="I24" s="3">
        <v>4</v>
      </c>
    </row>
    <row r="25" spans="1:9" ht="13" x14ac:dyDescent="0.3">
      <c r="A25" t="s">
        <v>27</v>
      </c>
      <c r="B25" s="2">
        <v>1650</v>
      </c>
      <c r="C25" s="2">
        <v>2150</v>
      </c>
      <c r="D25" s="2">
        <f t="shared" si="0"/>
        <v>500</v>
      </c>
      <c r="E25" s="1">
        <v>0.23</v>
      </c>
      <c r="F25" s="1" t="str">
        <f t="shared" si="1"/>
        <v>Medium Discount</v>
      </c>
      <c r="G25" s="4">
        <v>14</v>
      </c>
      <c r="H25" s="4" t="str">
        <f t="shared" si="2"/>
        <v>Average</v>
      </c>
      <c r="I25" s="3">
        <v>4.4000000000000004</v>
      </c>
    </row>
    <row r="26" spans="1:9" ht="13" x14ac:dyDescent="0.3">
      <c r="A26" t="s">
        <v>28</v>
      </c>
      <c r="B26" s="2">
        <v>2048</v>
      </c>
      <c r="C26" s="2">
        <v>4500</v>
      </c>
      <c r="D26" s="2">
        <f t="shared" si="0"/>
        <v>2452</v>
      </c>
      <c r="E26" s="1">
        <v>0.54</v>
      </c>
      <c r="F26" s="1" t="str">
        <f t="shared" si="1"/>
        <v>High Discount</v>
      </c>
      <c r="G26" s="4">
        <v>7</v>
      </c>
      <c r="H26" s="4" t="str">
        <f t="shared" si="2"/>
        <v>Average</v>
      </c>
      <c r="I26" s="3">
        <v>4.3</v>
      </c>
    </row>
    <row r="27" spans="1:9" ht="13" x14ac:dyDescent="0.3">
      <c r="A27" t="s">
        <v>29</v>
      </c>
      <c r="B27" s="2">
        <v>420</v>
      </c>
      <c r="C27" s="2">
        <v>647</v>
      </c>
      <c r="D27" s="2">
        <f t="shared" si="0"/>
        <v>227</v>
      </c>
      <c r="E27" s="1">
        <v>0.35</v>
      </c>
      <c r="F27" s="1" t="str">
        <f t="shared" si="1"/>
        <v>Medium Discount</v>
      </c>
      <c r="G27" s="4">
        <v>49</v>
      </c>
      <c r="H27" s="4" t="str">
        <f t="shared" si="2"/>
        <v>Excellent</v>
      </c>
      <c r="I27" s="3">
        <v>4.5999999999999996</v>
      </c>
    </row>
    <row r="28" spans="1:9" ht="13" x14ac:dyDescent="0.3">
      <c r="A28" t="s">
        <v>30</v>
      </c>
      <c r="B28" s="2">
        <v>2880</v>
      </c>
      <c r="C28" s="2">
        <v>3520</v>
      </c>
      <c r="D28" s="2">
        <f t="shared" si="0"/>
        <v>640</v>
      </c>
      <c r="E28" s="1">
        <v>0.18</v>
      </c>
      <c r="F28" s="1" t="str">
        <f t="shared" si="1"/>
        <v>Low Discount</v>
      </c>
      <c r="G28" s="4">
        <v>12</v>
      </c>
      <c r="H28" s="4" t="str">
        <f t="shared" si="2"/>
        <v>Average</v>
      </c>
      <c r="I28" s="3">
        <v>3.8</v>
      </c>
    </row>
    <row r="29" spans="1:9" ht="13" x14ac:dyDescent="0.3">
      <c r="A29" t="s">
        <v>31</v>
      </c>
      <c r="B29" s="2">
        <v>1350</v>
      </c>
      <c r="C29" s="2">
        <v>1990</v>
      </c>
      <c r="D29" s="2">
        <f t="shared" si="0"/>
        <v>640</v>
      </c>
      <c r="E29" s="1">
        <v>0.32</v>
      </c>
      <c r="F29" s="1" t="str">
        <f t="shared" si="1"/>
        <v>Medium Discount</v>
      </c>
      <c r="G29" s="4">
        <v>13</v>
      </c>
      <c r="H29" s="4" t="str">
        <f t="shared" si="2"/>
        <v>Average</v>
      </c>
      <c r="I29" s="3">
        <v>3.8</v>
      </c>
    </row>
    <row r="30" spans="1:9" ht="13" x14ac:dyDescent="0.3">
      <c r="A30" t="s">
        <v>32</v>
      </c>
      <c r="B30" s="2">
        <v>1758</v>
      </c>
      <c r="C30" s="2">
        <v>2499</v>
      </c>
      <c r="D30" s="2">
        <f t="shared" si="0"/>
        <v>741</v>
      </c>
      <c r="E30" s="1">
        <v>0.3</v>
      </c>
      <c r="F30" s="1" t="str">
        <f t="shared" si="1"/>
        <v>Medium Discount</v>
      </c>
      <c r="G30" s="4">
        <v>20</v>
      </c>
      <c r="H30" s="4" t="str">
        <f t="shared" si="2"/>
        <v>Average</v>
      </c>
      <c r="I30" s="3">
        <v>4.0999999999999996</v>
      </c>
    </row>
    <row r="31" spans="1:9" ht="13" x14ac:dyDescent="0.3">
      <c r="A31" t="s">
        <v>111</v>
      </c>
      <c r="B31" s="2">
        <v>2200</v>
      </c>
      <c r="C31" s="2">
        <v>4080</v>
      </c>
      <c r="D31" s="2">
        <f t="shared" si="0"/>
        <v>1880</v>
      </c>
      <c r="E31" s="1">
        <v>0.46</v>
      </c>
      <c r="F31" s="1" t="str">
        <f t="shared" si="1"/>
        <v>High Discount</v>
      </c>
      <c r="G31" s="4" t="s">
        <v>115</v>
      </c>
      <c r="H31" s="4" t="str">
        <f t="shared" si="2"/>
        <v>N/A</v>
      </c>
      <c r="I31" s="3" t="s">
        <v>115</v>
      </c>
    </row>
    <row r="32" spans="1:9" ht="13" x14ac:dyDescent="0.3">
      <c r="A32" t="s">
        <v>33</v>
      </c>
      <c r="B32" s="2">
        <v>185</v>
      </c>
      <c r="C32" s="2">
        <v>382</v>
      </c>
      <c r="D32" s="2">
        <f t="shared" si="0"/>
        <v>197</v>
      </c>
      <c r="E32" s="1">
        <v>0.52</v>
      </c>
      <c r="F32" s="1" t="str">
        <f t="shared" si="1"/>
        <v>High Discount</v>
      </c>
      <c r="G32" s="4">
        <v>9</v>
      </c>
      <c r="H32" s="4" t="str">
        <f t="shared" si="2"/>
        <v>Average</v>
      </c>
      <c r="I32" s="3">
        <v>4.3</v>
      </c>
    </row>
    <row r="33" spans="1:9" ht="13" x14ac:dyDescent="0.3">
      <c r="A33" t="s">
        <v>34</v>
      </c>
      <c r="B33" s="2">
        <v>980</v>
      </c>
      <c r="C33" s="2">
        <v>1490</v>
      </c>
      <c r="D33" s="2">
        <f t="shared" si="0"/>
        <v>510</v>
      </c>
      <c r="E33" s="1">
        <v>0.34</v>
      </c>
      <c r="F33" s="1" t="str">
        <f t="shared" si="1"/>
        <v>Medium Discount</v>
      </c>
      <c r="G33" s="4">
        <v>12</v>
      </c>
      <c r="H33" s="4" t="str">
        <f t="shared" si="2"/>
        <v>Excellent</v>
      </c>
      <c r="I33" s="3">
        <v>4.7</v>
      </c>
    </row>
    <row r="34" spans="1:9" ht="13" x14ac:dyDescent="0.3">
      <c r="A34" t="s">
        <v>35</v>
      </c>
      <c r="B34" s="2">
        <v>1820</v>
      </c>
      <c r="C34" s="2">
        <v>3490</v>
      </c>
      <c r="D34" s="2">
        <f t="shared" ref="D34:D64" si="3">C34-B34</f>
        <v>1670</v>
      </c>
      <c r="E34" s="1">
        <v>0.48</v>
      </c>
      <c r="F34" s="1" t="str">
        <f t="shared" ref="F34:F64" si="4">IF(OR(E34="N/A",E34="N/A"),"",IF(E34&lt;20%,"Low Discount",IF(E34&lt;=40%,"Medium Discount","High Discount")))</f>
        <v>High Discount</v>
      </c>
      <c r="G34" s="4">
        <v>9</v>
      </c>
      <c r="H34" s="4" t="str">
        <f t="shared" si="2"/>
        <v>Average</v>
      </c>
      <c r="I34" s="3">
        <v>4.3</v>
      </c>
    </row>
    <row r="35" spans="1:9" ht="13" x14ac:dyDescent="0.3">
      <c r="A35" t="s">
        <v>36</v>
      </c>
      <c r="B35" s="2">
        <v>1940</v>
      </c>
      <c r="C35" s="2">
        <v>2650</v>
      </c>
      <c r="D35" s="2">
        <f t="shared" si="3"/>
        <v>710</v>
      </c>
      <c r="E35" s="1">
        <v>0.27</v>
      </c>
      <c r="F35" s="1" t="str">
        <f t="shared" si="4"/>
        <v>Medium Discount</v>
      </c>
      <c r="G35" s="4">
        <v>20</v>
      </c>
      <c r="H35" s="4" t="str">
        <f t="shared" si="2"/>
        <v>Excellent</v>
      </c>
      <c r="I35" s="3">
        <v>4.7</v>
      </c>
    </row>
    <row r="36" spans="1:9" ht="13" x14ac:dyDescent="0.3">
      <c r="A36" t="s">
        <v>37</v>
      </c>
      <c r="B36" s="2">
        <v>1980</v>
      </c>
      <c r="C36" s="2">
        <v>2699</v>
      </c>
      <c r="D36" s="2">
        <f t="shared" si="3"/>
        <v>719</v>
      </c>
      <c r="E36" s="1">
        <v>0.27</v>
      </c>
      <c r="F36" s="1" t="str">
        <f t="shared" si="4"/>
        <v>Medium Discount</v>
      </c>
      <c r="G36" s="4">
        <v>32</v>
      </c>
      <c r="H36" s="4" t="str">
        <f t="shared" si="2"/>
        <v>Excellent</v>
      </c>
      <c r="I36" s="3">
        <v>4.5</v>
      </c>
    </row>
    <row r="37" spans="1:9" ht="13" x14ac:dyDescent="0.3">
      <c r="A37" t="s">
        <v>38</v>
      </c>
      <c r="B37" s="2">
        <v>1620</v>
      </c>
      <c r="C37" s="2">
        <v>2690</v>
      </c>
      <c r="D37" s="2">
        <f t="shared" si="3"/>
        <v>1070</v>
      </c>
      <c r="E37" s="1">
        <v>0.4</v>
      </c>
      <c r="F37" s="1" t="str">
        <f t="shared" si="4"/>
        <v>Medium Discount</v>
      </c>
      <c r="G37" s="4">
        <v>1</v>
      </c>
      <c r="H37" s="4" t="str">
        <f t="shared" si="2"/>
        <v>Excellent</v>
      </c>
      <c r="I37" s="3">
        <v>5</v>
      </c>
    </row>
    <row r="38" spans="1:9" ht="13" x14ac:dyDescent="0.3">
      <c r="A38" t="s">
        <v>39</v>
      </c>
      <c r="B38" s="2">
        <v>171</v>
      </c>
      <c r="C38" s="2">
        <v>360</v>
      </c>
      <c r="D38" s="2">
        <f t="shared" si="3"/>
        <v>189</v>
      </c>
      <c r="E38" s="1">
        <v>0.53</v>
      </c>
      <c r="F38" s="1" t="str">
        <f t="shared" si="4"/>
        <v>High Discount</v>
      </c>
      <c r="G38" s="4">
        <v>2</v>
      </c>
      <c r="H38" s="4" t="str">
        <f t="shared" si="2"/>
        <v>Excellent</v>
      </c>
      <c r="I38" s="3">
        <v>5</v>
      </c>
    </row>
    <row r="39" spans="1:9" ht="13" x14ac:dyDescent="0.3">
      <c r="A39" t="s">
        <v>40</v>
      </c>
      <c r="B39" s="2">
        <v>389</v>
      </c>
      <c r="C39" s="2">
        <v>656</v>
      </c>
      <c r="D39" s="2">
        <f t="shared" si="3"/>
        <v>267</v>
      </c>
      <c r="E39" s="1">
        <v>0.41</v>
      </c>
      <c r="F39" s="1" t="str">
        <f t="shared" si="4"/>
        <v>High Discount</v>
      </c>
      <c r="G39" s="4">
        <v>36</v>
      </c>
      <c r="H39" s="4" t="str">
        <f t="shared" si="2"/>
        <v>Average</v>
      </c>
      <c r="I39" s="3">
        <v>4.3</v>
      </c>
    </row>
    <row r="40" spans="1:9" ht="13" x14ac:dyDescent="0.3">
      <c r="A40" t="s">
        <v>41</v>
      </c>
      <c r="B40" s="2">
        <v>2750</v>
      </c>
      <c r="C40" s="2">
        <v>4471</v>
      </c>
      <c r="D40" s="2">
        <f t="shared" si="3"/>
        <v>1721</v>
      </c>
      <c r="E40" s="1">
        <v>0.38</v>
      </c>
      <c r="F40" s="1" t="str">
        <f t="shared" si="4"/>
        <v>Medium Discount</v>
      </c>
      <c r="G40" s="4" t="s">
        <v>115</v>
      </c>
      <c r="H40" s="4" t="str">
        <f t="shared" si="2"/>
        <v>N/A</v>
      </c>
      <c r="I40" s="3" t="s">
        <v>115</v>
      </c>
    </row>
    <row r="41" spans="1:9" ht="13" x14ac:dyDescent="0.3">
      <c r="A41" t="s">
        <v>42</v>
      </c>
      <c r="B41" s="2">
        <v>475</v>
      </c>
      <c r="C41" s="2">
        <v>931</v>
      </c>
      <c r="D41" s="2">
        <f t="shared" si="3"/>
        <v>456</v>
      </c>
      <c r="E41" s="1">
        <v>0.49</v>
      </c>
      <c r="F41" s="1" t="str">
        <f t="shared" si="4"/>
        <v>High Discount</v>
      </c>
      <c r="G41" s="4" t="s">
        <v>115</v>
      </c>
      <c r="H41" s="4" t="str">
        <f t="shared" si="2"/>
        <v>N/A</v>
      </c>
      <c r="I41" s="3" t="s">
        <v>115</v>
      </c>
    </row>
    <row r="42" spans="1:9" ht="13" x14ac:dyDescent="0.3">
      <c r="A42" t="s">
        <v>43</v>
      </c>
      <c r="B42" s="2">
        <v>238</v>
      </c>
      <c r="C42" s="2">
        <v>476</v>
      </c>
      <c r="D42" s="2">
        <f t="shared" si="3"/>
        <v>238</v>
      </c>
      <c r="E42" s="1">
        <v>0.5</v>
      </c>
      <c r="F42" s="1" t="str">
        <f t="shared" si="4"/>
        <v>High Discount</v>
      </c>
      <c r="G42" s="4" t="s">
        <v>115</v>
      </c>
      <c r="H42" s="4" t="str">
        <f t="shared" si="2"/>
        <v>N/A</v>
      </c>
      <c r="I42" s="3" t="s">
        <v>115</v>
      </c>
    </row>
    <row r="43" spans="1:9" ht="13" x14ac:dyDescent="0.3">
      <c r="A43" t="s">
        <v>44</v>
      </c>
      <c r="B43" s="2">
        <v>610</v>
      </c>
      <c r="C43" s="2">
        <v>1060</v>
      </c>
      <c r="D43" s="2">
        <f t="shared" si="3"/>
        <v>450</v>
      </c>
      <c r="E43" s="1">
        <v>0.42</v>
      </c>
      <c r="F43" s="1" t="str">
        <f t="shared" si="4"/>
        <v>High Discount</v>
      </c>
      <c r="G43" s="4" t="s">
        <v>115</v>
      </c>
      <c r="H43" s="4" t="str">
        <f t="shared" si="2"/>
        <v>N/A</v>
      </c>
      <c r="I43" s="3" t="s">
        <v>115</v>
      </c>
    </row>
    <row r="44" spans="1:9" ht="13" x14ac:dyDescent="0.3">
      <c r="A44" t="s">
        <v>45</v>
      </c>
      <c r="B44" s="2">
        <v>2132</v>
      </c>
      <c r="C44" s="2">
        <v>2169</v>
      </c>
      <c r="D44" s="2">
        <f t="shared" si="3"/>
        <v>37</v>
      </c>
      <c r="E44" s="1">
        <v>0.02</v>
      </c>
      <c r="F44" s="1" t="str">
        <f t="shared" si="4"/>
        <v>Low Discount</v>
      </c>
      <c r="G44" s="4" t="s">
        <v>115</v>
      </c>
      <c r="H44" s="4" t="str">
        <f t="shared" si="2"/>
        <v>N/A</v>
      </c>
      <c r="I44" s="3" t="s">
        <v>115</v>
      </c>
    </row>
    <row r="45" spans="1:9" ht="13" x14ac:dyDescent="0.3">
      <c r="A45" t="s">
        <v>46</v>
      </c>
      <c r="B45" s="2">
        <v>999</v>
      </c>
      <c r="C45" s="2">
        <v>2000</v>
      </c>
      <c r="D45" s="2">
        <f t="shared" si="3"/>
        <v>1001</v>
      </c>
      <c r="E45" s="1">
        <v>0.5</v>
      </c>
      <c r="F45" s="1" t="str">
        <f t="shared" si="4"/>
        <v>High Discount</v>
      </c>
      <c r="G45" s="4" t="s">
        <v>115</v>
      </c>
      <c r="H45" s="4" t="str">
        <f t="shared" si="2"/>
        <v>N/A</v>
      </c>
      <c r="I45" s="3" t="s">
        <v>115</v>
      </c>
    </row>
    <row r="46" spans="1:9" ht="13" x14ac:dyDescent="0.3">
      <c r="A46" t="s">
        <v>47</v>
      </c>
      <c r="B46" s="2">
        <v>1190</v>
      </c>
      <c r="C46" s="2">
        <v>1785</v>
      </c>
      <c r="D46" s="2">
        <f t="shared" si="3"/>
        <v>595</v>
      </c>
      <c r="E46" s="1">
        <v>0.33</v>
      </c>
      <c r="F46" s="1" t="str">
        <f t="shared" si="4"/>
        <v>Medium Discount</v>
      </c>
      <c r="G46" s="4" t="s">
        <v>115</v>
      </c>
      <c r="H46" s="4" t="str">
        <f t="shared" si="2"/>
        <v>N/A</v>
      </c>
      <c r="I46" s="3" t="s">
        <v>115</v>
      </c>
    </row>
    <row r="47" spans="1:9" ht="13" x14ac:dyDescent="0.3">
      <c r="A47" t="s">
        <v>48</v>
      </c>
      <c r="B47" s="2">
        <v>671</v>
      </c>
      <c r="C47" s="2">
        <v>1316</v>
      </c>
      <c r="D47" s="2">
        <f t="shared" si="3"/>
        <v>645</v>
      </c>
      <c r="E47" s="1">
        <v>0.49</v>
      </c>
      <c r="F47" s="1" t="str">
        <f t="shared" si="4"/>
        <v>High Discount</v>
      </c>
      <c r="G47" s="4" t="s">
        <v>115</v>
      </c>
      <c r="H47" s="4" t="str">
        <f t="shared" si="2"/>
        <v>N/A</v>
      </c>
      <c r="I47" s="3" t="s">
        <v>115</v>
      </c>
    </row>
    <row r="48" spans="1:9" ht="13" x14ac:dyDescent="0.3">
      <c r="A48" t="s">
        <v>49</v>
      </c>
      <c r="B48" s="2">
        <v>1200</v>
      </c>
      <c r="C48" s="2">
        <v>1950</v>
      </c>
      <c r="D48" s="2">
        <f t="shared" si="3"/>
        <v>750</v>
      </c>
      <c r="E48" s="1">
        <v>0.38</v>
      </c>
      <c r="F48" s="1" t="str">
        <f t="shared" si="4"/>
        <v>Medium Discount</v>
      </c>
      <c r="G48" s="4" t="s">
        <v>115</v>
      </c>
      <c r="H48" s="4" t="str">
        <f t="shared" si="2"/>
        <v>N/A</v>
      </c>
      <c r="I48" s="3" t="s">
        <v>115</v>
      </c>
    </row>
    <row r="49" spans="1:9" ht="13" x14ac:dyDescent="0.3">
      <c r="A49" t="s">
        <v>50</v>
      </c>
      <c r="B49" s="2">
        <v>199</v>
      </c>
      <c r="C49" s="2">
        <v>504</v>
      </c>
      <c r="D49" s="2">
        <f t="shared" si="3"/>
        <v>305</v>
      </c>
      <c r="E49" s="1">
        <v>0.61</v>
      </c>
      <c r="F49" s="1" t="str">
        <f t="shared" si="4"/>
        <v>High Discount</v>
      </c>
      <c r="G49" s="4" t="s">
        <v>115</v>
      </c>
      <c r="H49" s="4" t="str">
        <f t="shared" si="2"/>
        <v>N/A</v>
      </c>
      <c r="I49" s="3" t="s">
        <v>115</v>
      </c>
    </row>
    <row r="50" spans="1:9" ht="13" x14ac:dyDescent="0.3">
      <c r="A50" t="s">
        <v>51</v>
      </c>
      <c r="B50" s="2">
        <v>299</v>
      </c>
      <c r="C50" s="2">
        <v>600</v>
      </c>
      <c r="D50" s="2">
        <f t="shared" si="3"/>
        <v>301</v>
      </c>
      <c r="E50" s="1">
        <v>0.5</v>
      </c>
      <c r="F50" s="1" t="str">
        <f t="shared" si="4"/>
        <v>High Discount</v>
      </c>
      <c r="G50" s="4" t="s">
        <v>115</v>
      </c>
      <c r="H50" s="4" t="str">
        <f t="shared" si="2"/>
        <v>N/A</v>
      </c>
      <c r="I50" s="3" t="s">
        <v>115</v>
      </c>
    </row>
    <row r="51" spans="1:9" ht="13" x14ac:dyDescent="0.3">
      <c r="A51" t="s">
        <v>52</v>
      </c>
      <c r="B51" s="2">
        <v>1660</v>
      </c>
      <c r="C51" s="2">
        <v>1699</v>
      </c>
      <c r="D51" s="2">
        <f t="shared" si="3"/>
        <v>39</v>
      </c>
      <c r="E51" s="1">
        <v>0.02</v>
      </c>
      <c r="F51" s="1" t="str">
        <f t="shared" si="4"/>
        <v>Low Discount</v>
      </c>
      <c r="G51" s="4" t="s">
        <v>115</v>
      </c>
      <c r="H51" s="4" t="str">
        <f t="shared" si="2"/>
        <v>N/A</v>
      </c>
      <c r="I51" s="3" t="s">
        <v>115</v>
      </c>
    </row>
    <row r="52" spans="1:9" ht="13" x14ac:dyDescent="0.3">
      <c r="A52" t="s">
        <v>53</v>
      </c>
      <c r="B52" s="2">
        <v>299</v>
      </c>
      <c r="C52" s="2">
        <v>384</v>
      </c>
      <c r="D52" s="2">
        <f t="shared" si="3"/>
        <v>85</v>
      </c>
      <c r="E52" s="1">
        <v>0.22</v>
      </c>
      <c r="F52" s="1" t="str">
        <f t="shared" si="4"/>
        <v>Medium Discount</v>
      </c>
      <c r="G52" s="4" t="s">
        <v>115</v>
      </c>
      <c r="H52" s="4" t="str">
        <f t="shared" si="2"/>
        <v>N/A</v>
      </c>
      <c r="I52" s="3" t="s">
        <v>115</v>
      </c>
    </row>
    <row r="53" spans="1:9" ht="13" x14ac:dyDescent="0.3">
      <c r="A53" t="s">
        <v>54</v>
      </c>
      <c r="B53" s="2">
        <v>1459</v>
      </c>
      <c r="C53" s="2">
        <v>1499</v>
      </c>
      <c r="D53" s="2">
        <f t="shared" si="3"/>
        <v>40</v>
      </c>
      <c r="E53" s="1">
        <v>0.03</v>
      </c>
      <c r="F53" s="1" t="str">
        <f t="shared" si="4"/>
        <v>Low Discount</v>
      </c>
      <c r="G53" s="4" t="s">
        <v>115</v>
      </c>
      <c r="H53" s="4" t="str">
        <f t="shared" si="2"/>
        <v>N/A</v>
      </c>
      <c r="I53" s="3" t="s">
        <v>115</v>
      </c>
    </row>
    <row r="54" spans="1:9" ht="13" x14ac:dyDescent="0.3">
      <c r="A54" t="s">
        <v>55</v>
      </c>
      <c r="B54" s="2">
        <v>799</v>
      </c>
      <c r="C54" s="2">
        <v>1343</v>
      </c>
      <c r="D54" s="2">
        <f t="shared" si="3"/>
        <v>544</v>
      </c>
      <c r="E54" s="1">
        <v>0.41</v>
      </c>
      <c r="F54" s="1" t="str">
        <f t="shared" si="4"/>
        <v>High Discount</v>
      </c>
      <c r="G54" s="4" t="s">
        <v>115</v>
      </c>
      <c r="H54" s="4" t="str">
        <f t="shared" si="2"/>
        <v>N/A</v>
      </c>
      <c r="I54" s="3" t="s">
        <v>115</v>
      </c>
    </row>
    <row r="55" spans="1:9" ht="13" x14ac:dyDescent="0.3">
      <c r="A55" t="s">
        <v>56</v>
      </c>
      <c r="B55" s="2">
        <v>499</v>
      </c>
      <c r="C55" s="2">
        <v>900</v>
      </c>
      <c r="D55" s="2">
        <f t="shared" si="3"/>
        <v>401</v>
      </c>
      <c r="E55" s="1">
        <v>0.45</v>
      </c>
      <c r="F55" s="1" t="str">
        <f t="shared" si="4"/>
        <v>High Discount</v>
      </c>
      <c r="G55" s="4" t="s">
        <v>115</v>
      </c>
      <c r="H55" s="4" t="str">
        <f t="shared" si="2"/>
        <v>N/A</v>
      </c>
      <c r="I55" s="3" t="s">
        <v>115</v>
      </c>
    </row>
    <row r="56" spans="1:9" ht="13" x14ac:dyDescent="0.3">
      <c r="A56" t="s">
        <v>57</v>
      </c>
      <c r="B56" s="2">
        <v>699</v>
      </c>
      <c r="C56" s="2">
        <v>1343</v>
      </c>
      <c r="D56" s="2">
        <f t="shared" si="3"/>
        <v>644</v>
      </c>
      <c r="E56" s="1">
        <v>0.48</v>
      </c>
      <c r="F56" s="1" t="str">
        <f t="shared" si="4"/>
        <v>High Discount</v>
      </c>
      <c r="G56" s="4" t="s">
        <v>115</v>
      </c>
      <c r="H56" s="4" t="str">
        <f t="shared" si="2"/>
        <v>N/A</v>
      </c>
      <c r="I56" s="3" t="s">
        <v>115</v>
      </c>
    </row>
    <row r="57" spans="1:9" ht="13" x14ac:dyDescent="0.3">
      <c r="A57" t="s">
        <v>58</v>
      </c>
      <c r="B57" s="2">
        <v>799</v>
      </c>
      <c r="C57" s="2">
        <v>1567</v>
      </c>
      <c r="D57" s="2">
        <f t="shared" si="3"/>
        <v>768</v>
      </c>
      <c r="E57" s="1">
        <v>0.49</v>
      </c>
      <c r="F57" s="1" t="str">
        <f t="shared" si="4"/>
        <v>High Discount</v>
      </c>
      <c r="G57" s="4" t="s">
        <v>115</v>
      </c>
      <c r="H57" s="4" t="str">
        <f t="shared" si="2"/>
        <v>N/A</v>
      </c>
      <c r="I57" s="3" t="s">
        <v>115</v>
      </c>
    </row>
    <row r="58" spans="1:9" ht="13" x14ac:dyDescent="0.3">
      <c r="A58" t="s">
        <v>59</v>
      </c>
      <c r="B58" s="2">
        <v>2799</v>
      </c>
      <c r="C58" s="2">
        <v>3810</v>
      </c>
      <c r="D58" s="2">
        <f t="shared" si="3"/>
        <v>1011</v>
      </c>
      <c r="E58" s="1">
        <v>0.27</v>
      </c>
      <c r="F58" s="1" t="str">
        <f t="shared" si="4"/>
        <v>Medium Discount</v>
      </c>
      <c r="G58" s="4" t="s">
        <v>115</v>
      </c>
      <c r="H58" s="4" t="str">
        <f t="shared" si="2"/>
        <v>N/A</v>
      </c>
      <c r="I58" s="3" t="s">
        <v>115</v>
      </c>
    </row>
    <row r="59" spans="1:9" ht="13" x14ac:dyDescent="0.3">
      <c r="A59" t="s">
        <v>60</v>
      </c>
      <c r="B59" s="2">
        <v>2170</v>
      </c>
      <c r="C59" s="2">
        <v>2500</v>
      </c>
      <c r="D59" s="2">
        <f t="shared" si="3"/>
        <v>330</v>
      </c>
      <c r="E59" s="1">
        <v>0.13</v>
      </c>
      <c r="F59" s="1" t="str">
        <f t="shared" si="4"/>
        <v>Low Discount</v>
      </c>
      <c r="G59" s="4">
        <v>6</v>
      </c>
      <c r="H59" s="4" t="str">
        <f t="shared" si="2"/>
        <v>Poor</v>
      </c>
      <c r="I59" s="3">
        <v>2.5</v>
      </c>
    </row>
    <row r="60" spans="1:9" ht="13" x14ac:dyDescent="0.3">
      <c r="A60" t="s">
        <v>61</v>
      </c>
      <c r="B60" s="2">
        <v>458</v>
      </c>
      <c r="C60" s="2">
        <v>986</v>
      </c>
      <c r="D60" s="2">
        <f t="shared" si="3"/>
        <v>528</v>
      </c>
      <c r="E60" s="1">
        <v>0.54</v>
      </c>
      <c r="F60" s="1" t="str">
        <f t="shared" si="4"/>
        <v>High Discount</v>
      </c>
      <c r="G60" s="4">
        <v>10</v>
      </c>
      <c r="H60" s="4" t="str">
        <f t="shared" si="2"/>
        <v>Average</v>
      </c>
      <c r="I60" s="3">
        <v>3</v>
      </c>
    </row>
    <row r="61" spans="1:9" ht="13" x14ac:dyDescent="0.3">
      <c r="A61" t="s">
        <v>62</v>
      </c>
      <c r="B61" s="2">
        <v>2115</v>
      </c>
      <c r="C61" s="2">
        <v>4700</v>
      </c>
      <c r="D61" s="2">
        <f t="shared" si="3"/>
        <v>2585</v>
      </c>
      <c r="E61" s="1">
        <v>0.55000000000000004</v>
      </c>
      <c r="F61" s="1" t="str">
        <f t="shared" si="4"/>
        <v>High Discount</v>
      </c>
      <c r="G61" s="4">
        <v>13</v>
      </c>
      <c r="H61" s="4" t="str">
        <f t="shared" si="2"/>
        <v>Poor</v>
      </c>
      <c r="I61" s="3">
        <v>2.1</v>
      </c>
    </row>
    <row r="62" spans="1:9" ht="13" x14ac:dyDescent="0.3">
      <c r="A62" t="s">
        <v>63</v>
      </c>
      <c r="B62" s="2">
        <v>445</v>
      </c>
      <c r="C62" s="2">
        <v>873</v>
      </c>
      <c r="D62" s="2">
        <f t="shared" si="3"/>
        <v>428</v>
      </c>
      <c r="E62" s="1">
        <v>0.49</v>
      </c>
      <c r="F62" s="1" t="str">
        <f t="shared" si="4"/>
        <v>High Discount</v>
      </c>
      <c r="G62" s="4">
        <v>69</v>
      </c>
      <c r="H62" s="4" t="str">
        <f t="shared" si="2"/>
        <v>Poor</v>
      </c>
      <c r="I62" s="3">
        <v>2.8</v>
      </c>
    </row>
    <row r="63" spans="1:9" ht="13" x14ac:dyDescent="0.3">
      <c r="A63" t="s">
        <v>64</v>
      </c>
      <c r="B63" s="2">
        <v>325</v>
      </c>
      <c r="C63" s="2">
        <v>680</v>
      </c>
      <c r="D63" s="2">
        <f t="shared" si="3"/>
        <v>355</v>
      </c>
      <c r="E63" s="1">
        <v>0.52</v>
      </c>
      <c r="F63" s="1" t="str">
        <f t="shared" si="4"/>
        <v>High Discount</v>
      </c>
      <c r="G63" s="4">
        <v>15</v>
      </c>
      <c r="H63" s="4" t="str">
        <f t="shared" si="2"/>
        <v>Poor</v>
      </c>
      <c r="I63" s="3">
        <v>2.7</v>
      </c>
    </row>
    <row r="64" spans="1:9" ht="13" x14ac:dyDescent="0.3">
      <c r="A64" t="s">
        <v>65</v>
      </c>
      <c r="B64" s="2">
        <v>1220</v>
      </c>
      <c r="C64" s="2">
        <v>1555</v>
      </c>
      <c r="D64" s="2">
        <f t="shared" si="3"/>
        <v>335</v>
      </c>
      <c r="E64" s="1">
        <v>0.22</v>
      </c>
      <c r="F64" s="1" t="str">
        <f t="shared" si="4"/>
        <v>Medium Discount</v>
      </c>
      <c r="G64" s="4">
        <v>16</v>
      </c>
      <c r="H64" s="4" t="str">
        <f t="shared" si="2"/>
        <v>Poor</v>
      </c>
      <c r="I64" s="3">
        <v>2.9</v>
      </c>
    </row>
    <row r="65" spans="1:9" ht="13" x14ac:dyDescent="0.3">
      <c r="A65" t="s">
        <v>66</v>
      </c>
      <c r="B65" s="2">
        <v>990</v>
      </c>
      <c r="C65" s="2">
        <v>1814</v>
      </c>
      <c r="D65" s="2">
        <f t="shared" ref="D65:D96" si="5">C65-B65</f>
        <v>824</v>
      </c>
      <c r="E65" s="1">
        <v>0.45</v>
      </c>
      <c r="F65" s="1" t="str">
        <f t="shared" ref="F65:F96" si="6">IF(OR(E65="N/A",E65="N/A"),"",IF(E65&lt;20%,"Low Discount",IF(E65&lt;=40%,"Medium Discount","High Discount")))</f>
        <v>High Discount</v>
      </c>
      <c r="G65" s="4">
        <v>6</v>
      </c>
      <c r="H65" s="4" t="str">
        <f t="shared" ref="H65:H109" si="7">IF(I65="N/A","N/A",IF(I65&lt;3,"Poor",IF(I65&lt;=4.4,"Average","Excellent")))</f>
        <v>Poor</v>
      </c>
      <c r="I65" s="3">
        <v>2.2000000000000002</v>
      </c>
    </row>
    <row r="66" spans="1:9" ht="13" x14ac:dyDescent="0.3">
      <c r="A66" t="s">
        <v>67</v>
      </c>
      <c r="B66" s="2">
        <v>1000</v>
      </c>
      <c r="C66" s="2">
        <v>2000</v>
      </c>
      <c r="D66" s="2">
        <f t="shared" si="5"/>
        <v>1000</v>
      </c>
      <c r="E66" s="1">
        <v>0.5</v>
      </c>
      <c r="F66" s="1" t="str">
        <f t="shared" si="6"/>
        <v>High Discount</v>
      </c>
      <c r="G66" s="4">
        <v>7</v>
      </c>
      <c r="H66" s="4" t="str">
        <f t="shared" si="7"/>
        <v>Poor</v>
      </c>
      <c r="I66" s="3">
        <v>2.2999999999999998</v>
      </c>
    </row>
    <row r="67" spans="1:9" ht="13" x14ac:dyDescent="0.3">
      <c r="A67" t="s">
        <v>68</v>
      </c>
      <c r="B67" s="2">
        <v>3750</v>
      </c>
      <c r="C67" s="2">
        <v>6143</v>
      </c>
      <c r="D67" s="2">
        <f t="shared" si="5"/>
        <v>2393</v>
      </c>
      <c r="E67" s="1">
        <v>0.39</v>
      </c>
      <c r="F67" s="1" t="str">
        <f t="shared" si="6"/>
        <v>Medium Discount</v>
      </c>
      <c r="G67" s="4">
        <v>5</v>
      </c>
      <c r="H67" s="4" t="str">
        <f t="shared" si="7"/>
        <v>Average</v>
      </c>
      <c r="I67" s="3">
        <v>3</v>
      </c>
    </row>
    <row r="68" spans="1:9" ht="13" x14ac:dyDescent="0.3">
      <c r="A68" t="s">
        <v>69</v>
      </c>
      <c r="B68" s="2">
        <v>382</v>
      </c>
      <c r="C68" s="2">
        <v>700</v>
      </c>
      <c r="D68" s="2">
        <f t="shared" si="5"/>
        <v>318</v>
      </c>
      <c r="E68" s="1">
        <v>0.45</v>
      </c>
      <c r="F68" s="1" t="str">
        <f t="shared" si="6"/>
        <v>High Discount</v>
      </c>
      <c r="G68" s="4">
        <v>17</v>
      </c>
      <c r="H68" s="4" t="str">
        <f t="shared" si="7"/>
        <v>Poor</v>
      </c>
      <c r="I68" s="3">
        <v>2.6</v>
      </c>
    </row>
    <row r="69" spans="1:9" ht="13" x14ac:dyDescent="0.3">
      <c r="A69" t="s">
        <v>70</v>
      </c>
      <c r="B69" s="2">
        <v>2300</v>
      </c>
      <c r="C69" s="2">
        <v>3240</v>
      </c>
      <c r="D69" s="2">
        <f t="shared" si="5"/>
        <v>940</v>
      </c>
      <c r="E69" s="1">
        <v>0.28999999999999998</v>
      </c>
      <c r="F69" s="1" t="str">
        <f t="shared" si="6"/>
        <v>Medium Discount</v>
      </c>
      <c r="G69" s="4">
        <v>5</v>
      </c>
      <c r="H69" s="4" t="str">
        <f t="shared" si="7"/>
        <v>Average</v>
      </c>
      <c r="I69" s="3">
        <v>3</v>
      </c>
    </row>
    <row r="70" spans="1:9" ht="13" x14ac:dyDescent="0.3">
      <c r="A70" t="s">
        <v>71</v>
      </c>
      <c r="B70" s="2">
        <v>345</v>
      </c>
      <c r="C70" s="2">
        <v>602</v>
      </c>
      <c r="D70" s="2">
        <f t="shared" si="5"/>
        <v>257</v>
      </c>
      <c r="E70" s="1">
        <v>0.43</v>
      </c>
      <c r="F70" s="1" t="str">
        <f t="shared" si="6"/>
        <v>High Discount</v>
      </c>
      <c r="G70" s="4">
        <v>6</v>
      </c>
      <c r="H70" s="4" t="str">
        <f t="shared" si="7"/>
        <v>Poor</v>
      </c>
      <c r="I70" s="3">
        <v>2.2999999999999998</v>
      </c>
    </row>
    <row r="71" spans="1:9" ht="13" x14ac:dyDescent="0.3">
      <c r="A71" t="s">
        <v>72</v>
      </c>
      <c r="B71" s="2">
        <v>509</v>
      </c>
      <c r="C71" s="2">
        <v>899</v>
      </c>
      <c r="D71" s="2">
        <f t="shared" si="5"/>
        <v>390</v>
      </c>
      <c r="E71" s="1">
        <v>0.43</v>
      </c>
      <c r="F71" s="1" t="str">
        <f t="shared" si="6"/>
        <v>High Discount</v>
      </c>
      <c r="G71" s="4">
        <v>5</v>
      </c>
      <c r="H71" s="4" t="str">
        <f t="shared" si="7"/>
        <v>Average</v>
      </c>
      <c r="I71" s="3">
        <v>3</v>
      </c>
    </row>
    <row r="72" spans="1:9" ht="13" x14ac:dyDescent="0.3">
      <c r="A72" t="s">
        <v>73</v>
      </c>
      <c r="B72" s="2">
        <v>968</v>
      </c>
      <c r="C72" s="2">
        <v>1814</v>
      </c>
      <c r="D72" s="2">
        <f t="shared" si="5"/>
        <v>846</v>
      </c>
      <c r="E72" s="1">
        <v>0.47</v>
      </c>
      <c r="F72" s="1" t="str">
        <f t="shared" si="6"/>
        <v>High Discount</v>
      </c>
      <c r="G72" s="4">
        <v>6</v>
      </c>
      <c r="H72" s="4" t="str">
        <f t="shared" si="7"/>
        <v>Poor</v>
      </c>
      <c r="I72" s="3">
        <v>2.2000000000000002</v>
      </c>
    </row>
    <row r="73" spans="1:9" ht="13" x14ac:dyDescent="0.3">
      <c r="A73" t="s">
        <v>74</v>
      </c>
      <c r="B73" s="2">
        <v>1570</v>
      </c>
      <c r="C73" s="2">
        <v>2988</v>
      </c>
      <c r="D73" s="2">
        <f t="shared" si="5"/>
        <v>1418</v>
      </c>
      <c r="E73" s="1">
        <v>0.47</v>
      </c>
      <c r="F73" s="1" t="str">
        <f t="shared" si="6"/>
        <v>High Discount</v>
      </c>
      <c r="G73" s="4">
        <v>7</v>
      </c>
      <c r="H73" s="4" t="str">
        <f t="shared" si="7"/>
        <v>Poor</v>
      </c>
      <c r="I73" s="3">
        <v>2.1</v>
      </c>
    </row>
    <row r="74" spans="1:9" ht="13" x14ac:dyDescent="0.3">
      <c r="A74" t="s">
        <v>75</v>
      </c>
      <c r="B74" s="2">
        <v>790</v>
      </c>
      <c r="C74" s="2">
        <v>1485</v>
      </c>
      <c r="D74" s="2">
        <f t="shared" si="5"/>
        <v>695</v>
      </c>
      <c r="E74" s="1">
        <v>0.47</v>
      </c>
      <c r="F74" s="1" t="str">
        <f t="shared" si="6"/>
        <v>High Discount</v>
      </c>
      <c r="G74" s="4" t="s">
        <v>115</v>
      </c>
      <c r="H74" s="4" t="str">
        <f t="shared" si="7"/>
        <v>N/A</v>
      </c>
      <c r="I74" s="3" t="s">
        <v>115</v>
      </c>
    </row>
    <row r="75" spans="1:9" ht="13" x14ac:dyDescent="0.3">
      <c r="A75" t="s">
        <v>76</v>
      </c>
      <c r="B75" s="2">
        <v>690</v>
      </c>
      <c r="C75" s="2">
        <v>1200</v>
      </c>
      <c r="D75" s="2">
        <f t="shared" si="5"/>
        <v>510</v>
      </c>
      <c r="E75" s="1">
        <v>0.43</v>
      </c>
      <c r="F75" s="1" t="str">
        <f t="shared" si="6"/>
        <v>High Discount</v>
      </c>
      <c r="G75" s="4" t="s">
        <v>115</v>
      </c>
      <c r="H75" s="4" t="str">
        <f t="shared" si="7"/>
        <v>N/A</v>
      </c>
      <c r="I75" s="3" t="s">
        <v>115</v>
      </c>
    </row>
    <row r="76" spans="1:9" ht="13" x14ac:dyDescent="0.3">
      <c r="A76" t="s">
        <v>77</v>
      </c>
      <c r="B76" s="2">
        <v>1732</v>
      </c>
      <c r="C76" s="2">
        <v>1799</v>
      </c>
      <c r="D76" s="2">
        <f t="shared" si="5"/>
        <v>67</v>
      </c>
      <c r="E76" s="1">
        <v>0.04</v>
      </c>
      <c r="F76" s="1" t="str">
        <f t="shared" si="6"/>
        <v>Low Discount</v>
      </c>
      <c r="G76" s="4" t="s">
        <v>115</v>
      </c>
      <c r="H76" s="4" t="str">
        <f t="shared" si="7"/>
        <v>N/A</v>
      </c>
      <c r="I76" s="3" t="s">
        <v>115</v>
      </c>
    </row>
    <row r="77" spans="1:9" ht="13" x14ac:dyDescent="0.3">
      <c r="A77" t="s">
        <v>78</v>
      </c>
      <c r="B77" s="2">
        <v>230</v>
      </c>
      <c r="C77" s="2">
        <v>450</v>
      </c>
      <c r="D77" s="2">
        <f t="shared" si="5"/>
        <v>220</v>
      </c>
      <c r="E77" s="1">
        <v>0.49</v>
      </c>
      <c r="F77" s="1" t="str">
        <f t="shared" si="6"/>
        <v>High Discount</v>
      </c>
      <c r="G77" s="4" t="s">
        <v>115</v>
      </c>
      <c r="H77" s="4" t="str">
        <f t="shared" si="7"/>
        <v>N/A</v>
      </c>
      <c r="I77" s="3" t="s">
        <v>115</v>
      </c>
    </row>
    <row r="78" spans="1:9" ht="13" x14ac:dyDescent="0.3">
      <c r="A78" t="s">
        <v>79</v>
      </c>
      <c r="B78" s="2">
        <v>1189</v>
      </c>
      <c r="C78" s="2">
        <v>2199</v>
      </c>
      <c r="D78" s="2">
        <f t="shared" si="5"/>
        <v>1010</v>
      </c>
      <c r="E78" s="1">
        <v>0.46</v>
      </c>
      <c r="F78" s="1" t="str">
        <f t="shared" si="6"/>
        <v>High Discount</v>
      </c>
      <c r="G78" s="4">
        <v>1</v>
      </c>
      <c r="H78" s="4" t="str">
        <f t="shared" si="7"/>
        <v>Average</v>
      </c>
      <c r="I78" s="3">
        <v>3</v>
      </c>
    </row>
    <row r="79" spans="1:9" ht="13" x14ac:dyDescent="0.3">
      <c r="A79" t="s">
        <v>80</v>
      </c>
      <c r="B79" s="2">
        <v>979</v>
      </c>
      <c r="C79" s="2">
        <v>1920</v>
      </c>
      <c r="D79" s="2">
        <f t="shared" si="5"/>
        <v>941</v>
      </c>
      <c r="E79" s="1">
        <v>0.49</v>
      </c>
      <c r="F79" s="1" t="str">
        <f t="shared" si="6"/>
        <v>High Discount</v>
      </c>
      <c r="G79" s="4">
        <v>1</v>
      </c>
      <c r="H79" s="4" t="str">
        <f t="shared" si="7"/>
        <v>Excellent</v>
      </c>
      <c r="I79" s="3">
        <v>5</v>
      </c>
    </row>
    <row r="80" spans="1:9" ht="13" x14ac:dyDescent="0.3">
      <c r="A80" t="s">
        <v>81</v>
      </c>
      <c r="B80" s="2">
        <v>1460</v>
      </c>
      <c r="C80" s="2">
        <v>2290</v>
      </c>
      <c r="D80" s="2">
        <f t="shared" si="5"/>
        <v>830</v>
      </c>
      <c r="E80" s="1">
        <v>0.36</v>
      </c>
      <c r="F80" s="1" t="str">
        <f t="shared" si="6"/>
        <v>Medium Discount</v>
      </c>
      <c r="G80" s="4" t="s">
        <v>115</v>
      </c>
      <c r="H80" s="4" t="str">
        <f t="shared" si="7"/>
        <v>N/A</v>
      </c>
      <c r="I80" s="3" t="s">
        <v>115</v>
      </c>
    </row>
    <row r="81" spans="1:9" ht="13" x14ac:dyDescent="0.3">
      <c r="A81" t="s">
        <v>82</v>
      </c>
      <c r="B81" s="2">
        <v>1666</v>
      </c>
      <c r="C81" s="2">
        <v>1699</v>
      </c>
      <c r="D81" s="2">
        <f t="shared" si="5"/>
        <v>33</v>
      </c>
      <c r="E81" s="1">
        <v>0.02</v>
      </c>
      <c r="F81" s="1" t="str">
        <f t="shared" si="6"/>
        <v>Low Discount</v>
      </c>
      <c r="G81" s="4" t="s">
        <v>115</v>
      </c>
      <c r="H81" s="4" t="str">
        <f t="shared" si="7"/>
        <v>N/A</v>
      </c>
      <c r="I81" s="3" t="s">
        <v>115</v>
      </c>
    </row>
    <row r="82" spans="1:9" ht="13" x14ac:dyDescent="0.3">
      <c r="A82" t="s">
        <v>83</v>
      </c>
      <c r="B82" s="2">
        <v>330</v>
      </c>
      <c r="C82" s="2">
        <v>647</v>
      </c>
      <c r="D82" s="2">
        <f t="shared" si="5"/>
        <v>317</v>
      </c>
      <c r="E82" s="1">
        <v>0.49</v>
      </c>
      <c r="F82" s="1" t="str">
        <f t="shared" si="6"/>
        <v>High Discount</v>
      </c>
      <c r="G82" s="4">
        <v>1</v>
      </c>
      <c r="H82" s="4" t="str">
        <f t="shared" si="7"/>
        <v>Average</v>
      </c>
      <c r="I82" s="3">
        <v>4</v>
      </c>
    </row>
    <row r="83" spans="1:9" ht="13" x14ac:dyDescent="0.3">
      <c r="A83" t="s">
        <v>84</v>
      </c>
      <c r="B83" s="2">
        <v>1466</v>
      </c>
      <c r="C83" s="2">
        <v>1699</v>
      </c>
      <c r="D83" s="2">
        <f t="shared" si="5"/>
        <v>233</v>
      </c>
      <c r="E83" s="1">
        <v>0.14000000000000001</v>
      </c>
      <c r="F83" s="1" t="str">
        <f t="shared" si="6"/>
        <v>Low Discount</v>
      </c>
      <c r="G83" s="4" t="s">
        <v>115</v>
      </c>
      <c r="H83" s="4" t="str">
        <f t="shared" si="7"/>
        <v>N/A</v>
      </c>
      <c r="I83" s="3" t="s">
        <v>115</v>
      </c>
    </row>
    <row r="84" spans="1:9" ht="13" x14ac:dyDescent="0.3">
      <c r="A84" t="s">
        <v>85</v>
      </c>
      <c r="B84" s="2">
        <v>274</v>
      </c>
      <c r="C84" s="2">
        <v>537</v>
      </c>
      <c r="D84" s="2">
        <f t="shared" si="5"/>
        <v>263</v>
      </c>
      <c r="E84" s="1">
        <v>0.49</v>
      </c>
      <c r="F84" s="1" t="str">
        <f t="shared" si="6"/>
        <v>High Discount</v>
      </c>
      <c r="G84" s="4" t="s">
        <v>115</v>
      </c>
      <c r="H84" s="4" t="str">
        <f t="shared" si="7"/>
        <v>N/A</v>
      </c>
      <c r="I84" s="3" t="s">
        <v>115</v>
      </c>
    </row>
    <row r="85" spans="1:9" ht="13" x14ac:dyDescent="0.3">
      <c r="A85" t="s">
        <v>86</v>
      </c>
      <c r="B85" s="2">
        <v>799</v>
      </c>
      <c r="C85" s="2">
        <v>900</v>
      </c>
      <c r="D85" s="2">
        <f t="shared" si="5"/>
        <v>101</v>
      </c>
      <c r="E85" s="1">
        <v>0.11</v>
      </c>
      <c r="F85" s="1" t="str">
        <f t="shared" si="6"/>
        <v>Low Discount</v>
      </c>
      <c r="G85" s="4" t="s">
        <v>115</v>
      </c>
      <c r="H85" s="4" t="str">
        <f t="shared" si="7"/>
        <v>N/A</v>
      </c>
      <c r="I85" s="3" t="s">
        <v>115</v>
      </c>
    </row>
    <row r="86" spans="1:9" ht="13" x14ac:dyDescent="0.3">
      <c r="A86" t="s">
        <v>87</v>
      </c>
      <c r="B86" s="2">
        <v>1468</v>
      </c>
      <c r="C86" s="2">
        <v>1699</v>
      </c>
      <c r="D86" s="2">
        <f t="shared" si="5"/>
        <v>231</v>
      </c>
      <c r="E86" s="1">
        <v>0.14000000000000001</v>
      </c>
      <c r="F86" s="1" t="str">
        <f t="shared" si="6"/>
        <v>Low Discount</v>
      </c>
      <c r="G86" s="4" t="s">
        <v>115</v>
      </c>
      <c r="H86" s="4" t="str">
        <f t="shared" si="7"/>
        <v>N/A</v>
      </c>
      <c r="I86" s="3" t="s">
        <v>115</v>
      </c>
    </row>
    <row r="87" spans="1:9" ht="13" x14ac:dyDescent="0.3">
      <c r="A87" t="s">
        <v>88</v>
      </c>
      <c r="B87" s="2">
        <v>630</v>
      </c>
      <c r="C87" s="2">
        <v>1100</v>
      </c>
      <c r="D87" s="2">
        <f t="shared" si="5"/>
        <v>470</v>
      </c>
      <c r="E87" s="1">
        <v>0.43</v>
      </c>
      <c r="F87" s="1" t="str">
        <f t="shared" si="6"/>
        <v>High Discount</v>
      </c>
      <c r="G87" s="4" t="s">
        <v>115</v>
      </c>
      <c r="H87" s="4" t="str">
        <f t="shared" si="7"/>
        <v>N/A</v>
      </c>
      <c r="I87" s="3" t="s">
        <v>115</v>
      </c>
    </row>
    <row r="88" spans="1:9" ht="13" x14ac:dyDescent="0.3">
      <c r="A88" t="s">
        <v>89</v>
      </c>
      <c r="B88" s="2">
        <v>850</v>
      </c>
      <c r="C88" s="2">
        <v>1700</v>
      </c>
      <c r="D88" s="2">
        <f t="shared" si="5"/>
        <v>850</v>
      </c>
      <c r="E88" s="1">
        <v>0.5</v>
      </c>
      <c r="F88" s="1" t="str">
        <f t="shared" si="6"/>
        <v>High Discount</v>
      </c>
      <c r="G88" s="4" t="s">
        <v>115</v>
      </c>
      <c r="H88" s="4" t="str">
        <f t="shared" si="7"/>
        <v>N/A</v>
      </c>
      <c r="I88" s="3" t="s">
        <v>115</v>
      </c>
    </row>
    <row r="89" spans="1:9" ht="13" x14ac:dyDescent="0.3">
      <c r="A89" t="s">
        <v>90</v>
      </c>
      <c r="B89" s="2">
        <v>1300</v>
      </c>
      <c r="C89" s="2">
        <v>2500</v>
      </c>
      <c r="D89" s="2">
        <f t="shared" si="5"/>
        <v>1200</v>
      </c>
      <c r="E89" s="1">
        <v>0.48</v>
      </c>
      <c r="F89" s="1" t="str">
        <f t="shared" si="6"/>
        <v>High Discount</v>
      </c>
      <c r="G89" s="4" t="s">
        <v>115</v>
      </c>
      <c r="H89" s="4" t="str">
        <f t="shared" si="7"/>
        <v>N/A</v>
      </c>
      <c r="I89" s="3" t="s">
        <v>115</v>
      </c>
    </row>
    <row r="90" spans="1:9" ht="13" x14ac:dyDescent="0.3">
      <c r="A90" t="s">
        <v>91</v>
      </c>
      <c r="B90" s="2">
        <v>105</v>
      </c>
      <c r="C90" s="2">
        <v>200</v>
      </c>
      <c r="D90" s="2">
        <f t="shared" si="5"/>
        <v>95</v>
      </c>
      <c r="E90" s="1">
        <v>0.48</v>
      </c>
      <c r="F90" s="1" t="str">
        <f t="shared" si="6"/>
        <v>High Discount</v>
      </c>
      <c r="G90" s="4" t="s">
        <v>115</v>
      </c>
      <c r="H90" s="4" t="str">
        <f t="shared" si="7"/>
        <v>N/A</v>
      </c>
      <c r="I90" s="3" t="s">
        <v>115</v>
      </c>
    </row>
    <row r="91" spans="1:9" ht="13" x14ac:dyDescent="0.3">
      <c r="A91" t="s">
        <v>92</v>
      </c>
      <c r="B91" s="2">
        <v>899</v>
      </c>
      <c r="C91" s="2">
        <v>1699</v>
      </c>
      <c r="D91" s="2">
        <f t="shared" si="5"/>
        <v>800</v>
      </c>
      <c r="E91" s="1">
        <v>0.47</v>
      </c>
      <c r="F91" s="1" t="str">
        <f t="shared" si="6"/>
        <v>High Discount</v>
      </c>
      <c r="G91" s="4" t="s">
        <v>115</v>
      </c>
      <c r="H91" s="4" t="str">
        <f t="shared" si="7"/>
        <v>N/A</v>
      </c>
      <c r="I91" s="3" t="s">
        <v>115</v>
      </c>
    </row>
    <row r="92" spans="1:9" ht="13" x14ac:dyDescent="0.3">
      <c r="A92" t="s">
        <v>93</v>
      </c>
      <c r="B92" s="2">
        <v>1200</v>
      </c>
      <c r="C92" s="2">
        <v>2400</v>
      </c>
      <c r="D92" s="2">
        <f t="shared" si="5"/>
        <v>1200</v>
      </c>
      <c r="E92" s="1">
        <v>0.5</v>
      </c>
      <c r="F92" s="1" t="str">
        <f t="shared" si="6"/>
        <v>High Discount</v>
      </c>
      <c r="G92" s="4" t="s">
        <v>115</v>
      </c>
      <c r="H92" s="4" t="str">
        <f t="shared" si="7"/>
        <v>N/A</v>
      </c>
      <c r="I92" s="3" t="s">
        <v>115</v>
      </c>
    </row>
    <row r="93" spans="1:9" ht="13" x14ac:dyDescent="0.3">
      <c r="A93" t="s">
        <v>94</v>
      </c>
      <c r="B93" s="2">
        <v>1526</v>
      </c>
      <c r="C93" s="2">
        <v>1660</v>
      </c>
      <c r="D93" s="2">
        <f t="shared" si="5"/>
        <v>134</v>
      </c>
      <c r="E93" s="1">
        <v>0.08</v>
      </c>
      <c r="F93" s="1" t="str">
        <f t="shared" si="6"/>
        <v>Low Discount</v>
      </c>
      <c r="G93" s="4" t="s">
        <v>115</v>
      </c>
      <c r="H93" s="4" t="str">
        <f t="shared" si="7"/>
        <v>N/A</v>
      </c>
      <c r="I93" s="3" t="s">
        <v>115</v>
      </c>
    </row>
    <row r="94" spans="1:9" ht="13" x14ac:dyDescent="0.3">
      <c r="A94" t="s">
        <v>95</v>
      </c>
      <c r="B94" s="2">
        <v>1462</v>
      </c>
      <c r="C94" s="2">
        <v>1499</v>
      </c>
      <c r="D94" s="2">
        <f t="shared" si="5"/>
        <v>37</v>
      </c>
      <c r="E94" s="1">
        <v>0.02</v>
      </c>
      <c r="F94" s="1" t="str">
        <f t="shared" si="6"/>
        <v>Low Discount</v>
      </c>
      <c r="G94" s="4" t="s">
        <v>115</v>
      </c>
      <c r="H94" s="4" t="str">
        <f t="shared" si="7"/>
        <v>N/A</v>
      </c>
      <c r="I94" s="3" t="s">
        <v>115</v>
      </c>
    </row>
    <row r="95" spans="1:9" ht="13" x14ac:dyDescent="0.3">
      <c r="A95" t="s">
        <v>96</v>
      </c>
      <c r="B95" s="2">
        <v>248</v>
      </c>
      <c r="C95" s="2">
        <v>486</v>
      </c>
      <c r="D95" s="2">
        <f t="shared" si="5"/>
        <v>238</v>
      </c>
      <c r="E95" s="1">
        <v>0.49</v>
      </c>
      <c r="F95" s="1" t="str">
        <f t="shared" si="6"/>
        <v>High Discount</v>
      </c>
      <c r="G95" s="4" t="s">
        <v>115</v>
      </c>
      <c r="H95" s="4" t="str">
        <f t="shared" si="7"/>
        <v>N/A</v>
      </c>
      <c r="I95" s="3" t="s">
        <v>115</v>
      </c>
    </row>
    <row r="96" spans="1:9" ht="13" x14ac:dyDescent="0.3">
      <c r="A96" t="s">
        <v>97</v>
      </c>
      <c r="B96" s="2">
        <v>3546</v>
      </c>
      <c r="C96" s="2">
        <v>3699</v>
      </c>
      <c r="D96" s="2">
        <f t="shared" si="5"/>
        <v>153</v>
      </c>
      <c r="E96" s="1">
        <v>0.04</v>
      </c>
      <c r="F96" s="1" t="str">
        <f t="shared" si="6"/>
        <v>Low Discount</v>
      </c>
      <c r="G96" s="4" t="s">
        <v>115</v>
      </c>
      <c r="H96" s="4" t="str">
        <f t="shared" si="7"/>
        <v>N/A</v>
      </c>
      <c r="I96" s="3" t="s">
        <v>115</v>
      </c>
    </row>
    <row r="97" spans="1:9" ht="13" x14ac:dyDescent="0.3">
      <c r="A97" t="s">
        <v>98</v>
      </c>
      <c r="B97" s="2">
        <v>525</v>
      </c>
      <c r="C97" s="2">
        <v>1029</v>
      </c>
      <c r="D97" s="2">
        <f t="shared" ref="D97:D109" si="8">C97-B97</f>
        <v>504</v>
      </c>
      <c r="E97" s="1">
        <v>0.49</v>
      </c>
      <c r="F97" s="1" t="str">
        <f t="shared" ref="F97:F109" si="9">IF(OR(E97="N/A",E97="N/A"),"",IF(E97&lt;20%,"Low Discount",IF(E97&lt;=40%,"Medium Discount","High Discount")))</f>
        <v>High Discount</v>
      </c>
      <c r="G97" s="4" t="s">
        <v>115</v>
      </c>
      <c r="H97" s="4" t="str">
        <f t="shared" si="7"/>
        <v>N/A</v>
      </c>
      <c r="I97" s="3" t="s">
        <v>115</v>
      </c>
    </row>
    <row r="98" spans="1:9" ht="13" x14ac:dyDescent="0.3">
      <c r="A98" t="s">
        <v>99</v>
      </c>
      <c r="B98" s="2">
        <v>1080</v>
      </c>
      <c r="C98" s="2">
        <v>1874</v>
      </c>
      <c r="D98" s="2">
        <f t="shared" si="8"/>
        <v>794</v>
      </c>
      <c r="E98" s="1">
        <v>0.42</v>
      </c>
      <c r="F98" s="1" t="str">
        <f t="shared" si="9"/>
        <v>High Discount</v>
      </c>
      <c r="G98" s="4" t="s">
        <v>115</v>
      </c>
      <c r="H98" s="4" t="str">
        <f t="shared" si="7"/>
        <v>N/A</v>
      </c>
      <c r="I98" s="3" t="s">
        <v>115</v>
      </c>
    </row>
    <row r="99" spans="1:9" ht="13" x14ac:dyDescent="0.3">
      <c r="A99" t="s">
        <v>100</v>
      </c>
      <c r="B99" s="2">
        <v>3640</v>
      </c>
      <c r="C99" s="2">
        <v>4588</v>
      </c>
      <c r="D99" s="2">
        <f t="shared" si="8"/>
        <v>948</v>
      </c>
      <c r="E99" s="1">
        <v>0.21</v>
      </c>
      <c r="F99" s="1" t="str">
        <f t="shared" si="9"/>
        <v>Medium Discount</v>
      </c>
      <c r="G99" s="4">
        <v>1</v>
      </c>
      <c r="H99" s="4" t="str">
        <f t="shared" si="7"/>
        <v>Excellent</v>
      </c>
      <c r="I99" s="3">
        <v>5</v>
      </c>
    </row>
    <row r="100" spans="1:9" ht="13" x14ac:dyDescent="0.3">
      <c r="A100" t="s">
        <v>101</v>
      </c>
      <c r="B100" s="2">
        <v>1420</v>
      </c>
      <c r="C100" s="2">
        <v>2420</v>
      </c>
      <c r="D100" s="2">
        <f t="shared" si="8"/>
        <v>1000</v>
      </c>
      <c r="E100" s="1">
        <v>0.41</v>
      </c>
      <c r="F100" s="1" t="str">
        <f t="shared" si="9"/>
        <v>High Discount</v>
      </c>
      <c r="G100" s="4" t="s">
        <v>115</v>
      </c>
      <c r="H100" s="4" t="str">
        <f t="shared" si="7"/>
        <v>N/A</v>
      </c>
      <c r="I100" s="3" t="s">
        <v>115</v>
      </c>
    </row>
    <row r="101" spans="1:9" ht="13" x14ac:dyDescent="0.3">
      <c r="A101" t="s">
        <v>102</v>
      </c>
      <c r="B101" s="2">
        <v>1875</v>
      </c>
      <c r="C101" s="2">
        <v>1899</v>
      </c>
      <c r="D101" s="2">
        <f t="shared" si="8"/>
        <v>24</v>
      </c>
      <c r="E101" s="1">
        <v>0.01</v>
      </c>
      <c r="F101" s="1" t="str">
        <f t="shared" si="9"/>
        <v>Low Discount</v>
      </c>
      <c r="G101" s="4" t="s">
        <v>115</v>
      </c>
      <c r="H101" s="4" t="str">
        <f t="shared" si="7"/>
        <v>N/A</v>
      </c>
      <c r="I101" s="3" t="s">
        <v>115</v>
      </c>
    </row>
    <row r="102" spans="1:9" ht="13" x14ac:dyDescent="0.3">
      <c r="A102" t="s">
        <v>103</v>
      </c>
      <c r="B102" s="2">
        <v>198</v>
      </c>
      <c r="C102" s="2">
        <v>260</v>
      </c>
      <c r="D102" s="2">
        <f t="shared" si="8"/>
        <v>62</v>
      </c>
      <c r="E102" s="1">
        <v>0.24</v>
      </c>
      <c r="F102" s="1" t="str">
        <f t="shared" si="9"/>
        <v>Medium Discount</v>
      </c>
      <c r="G102" s="4" t="s">
        <v>115</v>
      </c>
      <c r="H102" s="4" t="str">
        <f t="shared" si="7"/>
        <v>N/A</v>
      </c>
      <c r="I102" s="3" t="s">
        <v>115</v>
      </c>
    </row>
    <row r="103" spans="1:9" ht="13" x14ac:dyDescent="0.3">
      <c r="A103" t="s">
        <v>104</v>
      </c>
      <c r="B103" s="2">
        <v>1150</v>
      </c>
      <c r="C103" s="2">
        <v>1737</v>
      </c>
      <c r="D103" s="2">
        <f t="shared" si="8"/>
        <v>587</v>
      </c>
      <c r="E103" s="1">
        <v>0.34</v>
      </c>
      <c r="F103" s="1" t="str">
        <f t="shared" si="9"/>
        <v>Medium Discount</v>
      </c>
      <c r="G103" s="4" t="s">
        <v>115</v>
      </c>
      <c r="H103" s="4" t="str">
        <f t="shared" si="7"/>
        <v>N/A</v>
      </c>
      <c r="I103" s="3" t="s">
        <v>115</v>
      </c>
    </row>
    <row r="104" spans="1:9" ht="13" x14ac:dyDescent="0.3">
      <c r="A104" t="s">
        <v>105</v>
      </c>
      <c r="B104" s="2">
        <v>1190</v>
      </c>
      <c r="C104" s="2">
        <v>1810</v>
      </c>
      <c r="D104" s="2">
        <f t="shared" si="8"/>
        <v>620</v>
      </c>
      <c r="E104" s="1">
        <v>0.34</v>
      </c>
      <c r="F104" s="1" t="str">
        <f t="shared" si="9"/>
        <v>Medium Discount</v>
      </c>
      <c r="G104" s="4" t="s">
        <v>115</v>
      </c>
      <c r="H104" s="4" t="str">
        <f t="shared" si="7"/>
        <v>N/A</v>
      </c>
      <c r="I104" s="3" t="s">
        <v>115</v>
      </c>
    </row>
    <row r="105" spans="1:9" ht="13" x14ac:dyDescent="0.3">
      <c r="A105" t="s">
        <v>106</v>
      </c>
      <c r="B105" s="2">
        <v>1658</v>
      </c>
      <c r="C105" s="2">
        <v>1699</v>
      </c>
      <c r="D105" s="2">
        <f t="shared" si="8"/>
        <v>41</v>
      </c>
      <c r="E105" s="1">
        <v>0.02</v>
      </c>
      <c r="F105" s="1" t="str">
        <f t="shared" si="9"/>
        <v>Low Discount</v>
      </c>
      <c r="G105" s="4" t="s">
        <v>115</v>
      </c>
      <c r="H105" s="4" t="str">
        <f t="shared" si="7"/>
        <v>N/A</v>
      </c>
      <c r="I105" s="3" t="s">
        <v>115</v>
      </c>
    </row>
    <row r="106" spans="1:9" ht="13" x14ac:dyDescent="0.3">
      <c r="A106" t="s">
        <v>107</v>
      </c>
      <c r="B106" s="2">
        <v>1768</v>
      </c>
      <c r="C106" s="2">
        <v>1799</v>
      </c>
      <c r="D106" s="2">
        <f t="shared" si="8"/>
        <v>31</v>
      </c>
      <c r="E106" s="1">
        <v>0.02</v>
      </c>
      <c r="F106" s="1" t="str">
        <f t="shared" si="9"/>
        <v>Low Discount</v>
      </c>
      <c r="G106" s="4" t="s">
        <v>115</v>
      </c>
      <c r="H106" s="4" t="str">
        <f t="shared" si="7"/>
        <v>N/A</v>
      </c>
      <c r="I106" s="3" t="s">
        <v>115</v>
      </c>
    </row>
    <row r="107" spans="1:9" ht="13" x14ac:dyDescent="0.3">
      <c r="A107" t="s">
        <v>108</v>
      </c>
      <c r="B107" s="2">
        <v>199</v>
      </c>
      <c r="C107" s="2">
        <v>553</v>
      </c>
      <c r="D107" s="2">
        <f t="shared" si="8"/>
        <v>354</v>
      </c>
      <c r="E107" s="1">
        <v>0.64</v>
      </c>
      <c r="F107" s="1" t="str">
        <f t="shared" si="9"/>
        <v>High Discount</v>
      </c>
      <c r="G107" s="4" t="s">
        <v>115</v>
      </c>
      <c r="H107" s="4" t="str">
        <f t="shared" si="7"/>
        <v>N/A</v>
      </c>
      <c r="I107" s="3" t="s">
        <v>115</v>
      </c>
    </row>
    <row r="108" spans="1:9" ht="13" x14ac:dyDescent="0.3">
      <c r="A108" t="s">
        <v>109</v>
      </c>
      <c r="B108" s="2">
        <v>450</v>
      </c>
      <c r="C108" s="2">
        <v>900</v>
      </c>
      <c r="D108" s="2">
        <f t="shared" si="8"/>
        <v>450</v>
      </c>
      <c r="E108" s="1">
        <v>0.5</v>
      </c>
      <c r="F108" s="1" t="str">
        <f t="shared" si="9"/>
        <v>High Discount</v>
      </c>
      <c r="G108" s="4">
        <v>1</v>
      </c>
      <c r="H108" s="4" t="str">
        <f t="shared" si="7"/>
        <v>Poor</v>
      </c>
      <c r="I108" s="3">
        <v>2</v>
      </c>
    </row>
    <row r="109" spans="1:9" ht="13" x14ac:dyDescent="0.3">
      <c r="A109" t="s">
        <v>110</v>
      </c>
      <c r="B109" s="2">
        <v>169</v>
      </c>
      <c r="C109" s="2">
        <v>320</v>
      </c>
      <c r="D109" s="2">
        <f t="shared" si="8"/>
        <v>151</v>
      </c>
      <c r="E109" s="1">
        <v>0.47</v>
      </c>
      <c r="F109" s="1" t="str">
        <f t="shared" si="9"/>
        <v>High Discount</v>
      </c>
      <c r="G109" s="4" t="s">
        <v>115</v>
      </c>
      <c r="H109" s="4" t="str">
        <f t="shared" si="7"/>
        <v>N/A</v>
      </c>
      <c r="I109" s="3" t="s">
        <v>115</v>
      </c>
    </row>
    <row r="110" spans="1:9" ht="14" customHeight="1" x14ac:dyDescent="0.3">
      <c r="A110">
        <f>SUBTOTAL(103,Table1[Product])</f>
        <v>108</v>
      </c>
      <c r="B110" s="2">
        <f>SUBTOTAL(101,Table1[Current price])</f>
        <v>1202.7777777777778</v>
      </c>
      <c r="C110" s="2">
        <f>SUBTOTAL(101,Table1[Old price])</f>
        <v>1829.7685185185185</v>
      </c>
      <c r="D110" s="2">
        <f>SUBTOTAL(105,Table1[Discount Amount])</f>
        <v>24</v>
      </c>
      <c r="E110" s="1">
        <f>SUBTOTAL(101,Table1[Discount])</f>
        <v>0.36370370370370358</v>
      </c>
      <c r="F110" s="1" t="e">
        <f>SUBTOTAL(101,Table1[Discount Category])</f>
        <v>#DIV/0!</v>
      </c>
      <c r="G110" s="4">
        <f>SUBTOTAL(109,Table1[Review])</f>
        <v>721</v>
      </c>
      <c r="H110" s="4" t="e">
        <f>SUBTOTAL(101,Table1[Rating Category])</f>
        <v>#DIV/0!</v>
      </c>
      <c r="I110" s="3">
        <f>SUBTOTAL(101,Table1[Ratings])</f>
        <v>3.8785714285714277</v>
      </c>
    </row>
    <row r="111" spans="1:9" ht="14" customHeight="1" x14ac:dyDescent="0.3">
      <c r="I111">
        <f>COUNTIF(H2:H109,"&lt;&gt;N/A")</f>
        <v>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7FC73-F58B-4D75-85DD-D6F927EC24DC}">
  <dimension ref="A2:Y24"/>
  <sheetViews>
    <sheetView topLeftCell="R1" workbookViewId="0">
      <selection activeCell="W32" sqref="W32"/>
    </sheetView>
  </sheetViews>
  <sheetFormatPr defaultRowHeight="13" x14ac:dyDescent="0.3"/>
  <cols>
    <col min="1" max="1" width="63.26953125" bestFit="1" customWidth="1"/>
    <col min="2" max="2" width="13.1796875" bestFit="1" customWidth="1"/>
    <col min="4" max="4" width="60.453125" bestFit="1" customWidth="1"/>
    <col min="5" max="5" width="12.90625" bestFit="1" customWidth="1"/>
    <col min="7" max="7" width="67.7265625" bestFit="1" customWidth="1"/>
    <col min="8" max="8" width="14.08984375" bestFit="1" customWidth="1"/>
    <col min="10" max="11" width="14.6328125" bestFit="1" customWidth="1"/>
    <col min="12" max="12" width="14.6328125" customWidth="1"/>
    <col min="13" max="13" width="18.08984375" bestFit="1" customWidth="1"/>
    <col min="14" max="16" width="14.6328125" customWidth="1"/>
    <col min="18" max="18" width="19.54296875" bestFit="1" customWidth="1"/>
    <col min="19" max="19" width="11.54296875" bestFit="1" customWidth="1"/>
    <col min="20" max="20" width="14.1796875" bestFit="1" customWidth="1"/>
    <col min="21" max="21" width="13.7265625" bestFit="1" customWidth="1"/>
    <col min="22" max="22" width="14.1796875" bestFit="1" customWidth="1"/>
    <col min="23" max="23" width="20.1796875" bestFit="1" customWidth="1"/>
    <col min="24" max="24" width="25.7265625" bestFit="1" customWidth="1"/>
    <col min="25" max="26" width="12.90625" bestFit="1" customWidth="1"/>
  </cols>
  <sheetData>
    <row r="2" spans="1:25" x14ac:dyDescent="0.3">
      <c r="A2" s="8" t="s">
        <v>121</v>
      </c>
      <c r="D2" s="8" t="s">
        <v>135</v>
      </c>
      <c r="G2" s="8" t="s">
        <v>131</v>
      </c>
      <c r="J2" s="8" t="s">
        <v>133</v>
      </c>
      <c r="K2" s="8"/>
      <c r="L2" s="8"/>
      <c r="M2" s="8"/>
      <c r="N2" s="8"/>
      <c r="O2" s="8"/>
      <c r="P2" s="8"/>
      <c r="Q2" s="8"/>
    </row>
    <row r="3" spans="1:25" x14ac:dyDescent="0.3">
      <c r="A3" s="6" t="s">
        <v>122</v>
      </c>
      <c r="B3" t="s">
        <v>120</v>
      </c>
      <c r="D3" s="6" t="s">
        <v>118</v>
      </c>
      <c r="E3" t="s">
        <v>129</v>
      </c>
      <c r="G3" s="6" t="s">
        <v>118</v>
      </c>
      <c r="H3" t="s">
        <v>130</v>
      </c>
      <c r="J3" s="6" t="s">
        <v>116</v>
      </c>
      <c r="K3" t="s">
        <v>132</v>
      </c>
      <c r="M3" s="8" t="s">
        <v>134</v>
      </c>
      <c r="N3" s="8"/>
      <c r="O3" s="8"/>
      <c r="R3" s="6" t="s">
        <v>159</v>
      </c>
      <c r="S3" t="s">
        <v>148</v>
      </c>
      <c r="U3" s="6" t="s">
        <v>157</v>
      </c>
      <c r="V3" t="s">
        <v>149</v>
      </c>
      <c r="X3" s="6" t="s">
        <v>118</v>
      </c>
      <c r="Y3" t="s">
        <v>149</v>
      </c>
    </row>
    <row r="4" spans="1:25" x14ac:dyDescent="0.3">
      <c r="A4" s="7" t="s">
        <v>39</v>
      </c>
      <c r="B4" s="12">
        <v>5</v>
      </c>
      <c r="D4" s="7" t="s">
        <v>63</v>
      </c>
      <c r="E4" s="12">
        <v>69</v>
      </c>
      <c r="G4" s="7" t="s">
        <v>108</v>
      </c>
      <c r="H4" s="5">
        <v>0.64</v>
      </c>
      <c r="J4" s="7" t="s">
        <v>125</v>
      </c>
      <c r="K4" s="12">
        <v>22</v>
      </c>
      <c r="M4" s="6" t="s">
        <v>117</v>
      </c>
      <c r="N4" t="s">
        <v>132</v>
      </c>
      <c r="R4" s="7" t="s">
        <v>125</v>
      </c>
      <c r="S4" s="12">
        <v>22</v>
      </c>
      <c r="U4" s="11" t="s">
        <v>150</v>
      </c>
      <c r="V4">
        <v>48</v>
      </c>
      <c r="X4" s="7" t="s">
        <v>126</v>
      </c>
      <c r="Y4">
        <v>59</v>
      </c>
    </row>
    <row r="5" spans="1:25" x14ac:dyDescent="0.3">
      <c r="A5" s="7" t="s">
        <v>21</v>
      </c>
      <c r="B5" s="12">
        <v>5</v>
      </c>
      <c r="D5" s="7" t="s">
        <v>10</v>
      </c>
      <c r="E5" s="12">
        <v>55</v>
      </c>
      <c r="G5" s="7" t="s">
        <v>50</v>
      </c>
      <c r="H5" s="5">
        <v>0.61</v>
      </c>
      <c r="J5" s="7" t="s">
        <v>124</v>
      </c>
      <c r="K5" s="12">
        <v>22</v>
      </c>
      <c r="M5" s="7" t="s">
        <v>126</v>
      </c>
      <c r="N5" s="12">
        <v>59</v>
      </c>
      <c r="R5" s="7" t="s">
        <v>124</v>
      </c>
      <c r="S5" s="12">
        <v>22</v>
      </c>
      <c r="U5" s="11" t="s">
        <v>151</v>
      </c>
      <c r="V5">
        <v>17</v>
      </c>
      <c r="X5" s="7" t="s">
        <v>128</v>
      </c>
      <c r="Y5">
        <v>18</v>
      </c>
    </row>
    <row r="6" spans="1:25" x14ac:dyDescent="0.3">
      <c r="A6" s="7" t="s">
        <v>100</v>
      </c>
      <c r="B6" s="12">
        <v>5</v>
      </c>
      <c r="D6" s="7" t="s">
        <v>29</v>
      </c>
      <c r="E6" s="12">
        <v>49</v>
      </c>
      <c r="G6" s="7" t="s">
        <v>12</v>
      </c>
      <c r="H6" s="5">
        <v>0.55000000000000004</v>
      </c>
      <c r="J6" s="7" t="s">
        <v>115</v>
      </c>
      <c r="K6" s="12">
        <v>52</v>
      </c>
      <c r="M6" s="7" t="s">
        <v>128</v>
      </c>
      <c r="N6" s="12">
        <v>18</v>
      </c>
      <c r="R6" s="7" t="s">
        <v>115</v>
      </c>
      <c r="S6" s="12">
        <v>52</v>
      </c>
      <c r="U6" s="11" t="s">
        <v>152</v>
      </c>
      <c r="V6">
        <v>13</v>
      </c>
      <c r="X6" s="7" t="s">
        <v>123</v>
      </c>
      <c r="Y6">
        <v>31</v>
      </c>
    </row>
    <row r="7" spans="1:25" x14ac:dyDescent="0.3">
      <c r="A7" s="7" t="s">
        <v>19</v>
      </c>
      <c r="B7" s="12">
        <v>5</v>
      </c>
      <c r="D7" s="7" t="s">
        <v>23</v>
      </c>
      <c r="E7" s="12">
        <v>44</v>
      </c>
      <c r="G7" s="7" t="s">
        <v>62</v>
      </c>
      <c r="H7" s="5">
        <v>0.55000000000000004</v>
      </c>
      <c r="J7" s="7" t="s">
        <v>127</v>
      </c>
      <c r="K7" s="12">
        <v>12</v>
      </c>
      <c r="M7" s="7" t="s">
        <v>123</v>
      </c>
      <c r="N7" s="12">
        <v>31</v>
      </c>
      <c r="R7" s="7" t="s">
        <v>127</v>
      </c>
      <c r="S7" s="12">
        <v>12</v>
      </c>
      <c r="U7" s="11" t="s">
        <v>153</v>
      </c>
      <c r="V7">
        <v>12</v>
      </c>
      <c r="X7" s="7" t="s">
        <v>119</v>
      </c>
      <c r="Y7">
        <v>108</v>
      </c>
    </row>
    <row r="8" spans="1:25" x14ac:dyDescent="0.3">
      <c r="A8" s="7" t="s">
        <v>20</v>
      </c>
      <c r="B8" s="12">
        <v>5</v>
      </c>
      <c r="D8" s="7" t="s">
        <v>15</v>
      </c>
      <c r="E8" s="12">
        <v>39</v>
      </c>
      <c r="G8" s="7" t="s">
        <v>28</v>
      </c>
      <c r="H8" s="5">
        <v>0.54</v>
      </c>
      <c r="J8" s="7" t="s">
        <v>119</v>
      </c>
      <c r="K8" s="12">
        <v>108</v>
      </c>
      <c r="M8" s="7" t="s">
        <v>119</v>
      </c>
      <c r="N8" s="12">
        <v>108</v>
      </c>
      <c r="R8" s="7" t="s">
        <v>119</v>
      </c>
      <c r="S8" s="12">
        <v>108</v>
      </c>
      <c r="U8" s="11" t="s">
        <v>154</v>
      </c>
      <c r="V8">
        <v>9</v>
      </c>
    </row>
    <row r="9" spans="1:25" x14ac:dyDescent="0.3">
      <c r="A9" s="7" t="s">
        <v>80</v>
      </c>
      <c r="B9" s="12">
        <v>5</v>
      </c>
      <c r="D9" s="7" t="s">
        <v>40</v>
      </c>
      <c r="E9" s="12">
        <v>36</v>
      </c>
      <c r="G9" s="7" t="s">
        <v>61</v>
      </c>
      <c r="H9" s="5">
        <v>0.54</v>
      </c>
      <c r="J9" s="8"/>
      <c r="K9" s="8"/>
      <c r="L9" s="8"/>
      <c r="M9" s="8"/>
      <c r="N9" s="8"/>
      <c r="O9" s="8"/>
      <c r="P9" s="8"/>
      <c r="Q9" s="8"/>
      <c r="U9" s="11" t="s">
        <v>155</v>
      </c>
      <c r="V9">
        <v>7</v>
      </c>
    </row>
    <row r="10" spans="1:25" x14ac:dyDescent="0.3">
      <c r="A10" s="7" t="s">
        <v>38</v>
      </c>
      <c r="B10" s="12">
        <v>5</v>
      </c>
      <c r="D10" s="7" t="s">
        <v>37</v>
      </c>
      <c r="E10" s="12">
        <v>32</v>
      </c>
      <c r="G10" s="7" t="s">
        <v>39</v>
      </c>
      <c r="H10" s="5">
        <v>0.53</v>
      </c>
      <c r="J10" t="s">
        <v>132</v>
      </c>
      <c r="U10" s="11" t="s">
        <v>156</v>
      </c>
      <c r="V10">
        <v>2</v>
      </c>
    </row>
    <row r="11" spans="1:25" x14ac:dyDescent="0.3">
      <c r="A11" s="7" t="s">
        <v>12</v>
      </c>
      <c r="B11" s="12">
        <v>4.8</v>
      </c>
      <c r="D11" s="7" t="s">
        <v>6</v>
      </c>
      <c r="E11" s="12">
        <v>24</v>
      </c>
      <c r="G11" s="7" t="s">
        <v>24</v>
      </c>
      <c r="H11" s="5">
        <v>0.53</v>
      </c>
      <c r="J11" s="12">
        <v>108</v>
      </c>
      <c r="R11" s="6" t="s">
        <v>158</v>
      </c>
      <c r="S11" t="s">
        <v>129</v>
      </c>
      <c r="U11" s="11" t="s">
        <v>119</v>
      </c>
      <c r="V11">
        <v>108</v>
      </c>
      <c r="X11" s="6" t="s">
        <v>167</v>
      </c>
      <c r="Y11" t="s">
        <v>129</v>
      </c>
    </row>
    <row r="12" spans="1:25" x14ac:dyDescent="0.3">
      <c r="A12" s="7" t="s">
        <v>8</v>
      </c>
      <c r="B12" s="12">
        <v>4.8</v>
      </c>
      <c r="D12" s="7" t="s">
        <v>36</v>
      </c>
      <c r="E12" s="12">
        <v>20</v>
      </c>
      <c r="G12" s="7" t="s">
        <v>64</v>
      </c>
      <c r="H12" s="5">
        <v>0.52</v>
      </c>
      <c r="R12" s="10" t="s">
        <v>136</v>
      </c>
      <c r="S12">
        <v>69</v>
      </c>
      <c r="X12" s="10" t="s">
        <v>160</v>
      </c>
      <c r="Y12">
        <v>69</v>
      </c>
    </row>
    <row r="13" spans="1:25" x14ac:dyDescent="0.3">
      <c r="A13" s="7" t="s">
        <v>16</v>
      </c>
      <c r="B13" s="12">
        <v>4.8</v>
      </c>
      <c r="D13" s="7" t="s">
        <v>32</v>
      </c>
      <c r="E13" s="12">
        <v>20</v>
      </c>
      <c r="G13" s="7" t="s">
        <v>33</v>
      </c>
      <c r="H13" s="5">
        <v>0.52</v>
      </c>
      <c r="R13" s="10" t="s">
        <v>137</v>
      </c>
      <c r="S13">
        <v>55</v>
      </c>
      <c r="X13" s="10" t="s">
        <v>161</v>
      </c>
      <c r="Y13">
        <v>44</v>
      </c>
    </row>
    <row r="14" spans="1:25" x14ac:dyDescent="0.3">
      <c r="A14" s="7" t="s">
        <v>119</v>
      </c>
      <c r="B14" s="12">
        <v>5</v>
      </c>
      <c r="D14" s="7" t="s">
        <v>119</v>
      </c>
      <c r="E14" s="12">
        <v>69</v>
      </c>
      <c r="G14" s="7" t="s">
        <v>119</v>
      </c>
      <c r="H14" s="5">
        <v>0.64</v>
      </c>
      <c r="R14" s="10" t="s">
        <v>138</v>
      </c>
      <c r="S14">
        <v>49</v>
      </c>
      <c r="U14" s="6" t="s">
        <v>118</v>
      </c>
      <c r="V14" t="s">
        <v>168</v>
      </c>
      <c r="X14" s="10" t="s">
        <v>162</v>
      </c>
      <c r="Y14">
        <v>16</v>
      </c>
    </row>
    <row r="15" spans="1:25" x14ac:dyDescent="0.3">
      <c r="R15" s="10" t="s">
        <v>139</v>
      </c>
      <c r="S15">
        <v>44</v>
      </c>
      <c r="U15" s="7" t="s">
        <v>125</v>
      </c>
      <c r="V15">
        <v>22</v>
      </c>
      <c r="X15" s="10" t="s">
        <v>163</v>
      </c>
      <c r="Y15">
        <v>32</v>
      </c>
    </row>
    <row r="16" spans="1:25" x14ac:dyDescent="0.3">
      <c r="R16" s="10" t="s">
        <v>140</v>
      </c>
      <c r="S16">
        <v>13</v>
      </c>
      <c r="U16" s="7" t="s">
        <v>124</v>
      </c>
      <c r="V16">
        <v>22</v>
      </c>
      <c r="X16" s="10" t="s">
        <v>164</v>
      </c>
      <c r="Y16">
        <v>55</v>
      </c>
    </row>
    <row r="17" spans="18:25" x14ac:dyDescent="0.3">
      <c r="R17" s="10" t="s">
        <v>141</v>
      </c>
      <c r="S17">
        <v>13</v>
      </c>
      <c r="U17" s="7" t="s">
        <v>115</v>
      </c>
      <c r="V17">
        <v>52</v>
      </c>
      <c r="X17" s="10" t="s">
        <v>165</v>
      </c>
      <c r="Y17">
        <v>15</v>
      </c>
    </row>
    <row r="18" spans="18:25" x14ac:dyDescent="0.3">
      <c r="R18" s="10" t="s">
        <v>142</v>
      </c>
      <c r="S18">
        <v>9</v>
      </c>
      <c r="U18" s="7" t="s">
        <v>127</v>
      </c>
      <c r="V18">
        <v>12</v>
      </c>
      <c r="X18" s="10" t="s">
        <v>166</v>
      </c>
      <c r="Y18">
        <v>5</v>
      </c>
    </row>
    <row r="19" spans="18:25" x14ac:dyDescent="0.3">
      <c r="R19" s="10" t="s">
        <v>143</v>
      </c>
      <c r="S19">
        <v>7</v>
      </c>
      <c r="U19" s="7" t="s">
        <v>119</v>
      </c>
      <c r="V19">
        <v>108</v>
      </c>
      <c r="X19" s="10" t="s">
        <v>119</v>
      </c>
      <c r="Y19">
        <v>69</v>
      </c>
    </row>
    <row r="20" spans="18:25" x14ac:dyDescent="0.3">
      <c r="R20" s="10" t="s">
        <v>144</v>
      </c>
      <c r="S20">
        <v>5</v>
      </c>
    </row>
    <row r="21" spans="18:25" x14ac:dyDescent="0.3">
      <c r="R21" s="10" t="s">
        <v>145</v>
      </c>
      <c r="S21">
        <v>5</v>
      </c>
    </row>
    <row r="22" spans="18:25" x14ac:dyDescent="0.3">
      <c r="R22" s="10" t="s">
        <v>146</v>
      </c>
      <c r="S22">
        <v>3</v>
      </c>
    </row>
    <row r="23" spans="18:25" x14ac:dyDescent="0.3">
      <c r="R23" s="10" t="s">
        <v>147</v>
      </c>
      <c r="S23">
        <v>1</v>
      </c>
    </row>
    <row r="24" spans="18:25" x14ac:dyDescent="0.3">
      <c r="R24" s="10" t="s">
        <v>119</v>
      </c>
      <c r="S24">
        <v>69</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5F4E4-6336-4A15-B2A6-9AB019927835}">
  <dimension ref="A1"/>
  <sheetViews>
    <sheetView zoomScale="80" zoomScaleNormal="80" workbookViewId="0">
      <selection activeCell="F51" sqref="F51"/>
    </sheetView>
  </sheetViews>
  <sheetFormatPr defaultRowHeight="13" x14ac:dyDescent="0.3"/>
  <cols>
    <col min="1" max="16384" width="8.7265625" style="9"/>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Excel_jumia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COLLINS MUINDI</cp:lastModifiedBy>
  <dcterms:created xsi:type="dcterms:W3CDTF">2026-03-18T07:21:16Z</dcterms:created>
  <dcterms:modified xsi:type="dcterms:W3CDTF">2026-04-02T15:07:22Z</dcterms:modified>
</cp:coreProperties>
</file>